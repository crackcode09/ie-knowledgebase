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tudies" sheetId="1" state="visible" r:id="rId1"/>
    <sheet xmlns:r="http://schemas.openxmlformats.org/officeDocument/2006/relationships" name="RunModel" sheetId="2" state="visible" r:id="rId2"/>
    <sheet xmlns:r="http://schemas.openxmlformats.org/officeDocument/2006/relationships" name="SetupStudies" sheetId="3" state="visible" r:id="rId3"/>
    <sheet xmlns:r="http://schemas.openxmlformats.org/officeDocument/2006/relationships" name="JobStandard" sheetId="4" state="visible" r:id="rId4"/>
    <sheet xmlns:r="http://schemas.openxmlformats.org/officeDocument/2006/relationships" name="ToolPak 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8" customWidth="1" min="8" max="8"/>
  </cols>
  <sheetData>
    <row r="1">
      <c r="A1" s="1" t="inlineStr">
        <is>
          <t>study</t>
        </is>
      </c>
      <c r="B1" s="1" t="inlineStr">
        <is>
          <t>bends</t>
        </is>
      </c>
      <c r="C1" s="1" t="inlineStr">
        <is>
          <t>flips</t>
        </is>
      </c>
      <c r="D1" s="1" t="inlineStr">
        <is>
          <t>weight_kg</t>
        </is>
      </c>
      <c r="E1" s="1" t="inlineStr">
        <is>
          <t>length_mm</t>
        </is>
      </c>
      <c r="F1" s="1" t="inlineStr">
        <is>
          <t>thickness_mm</t>
        </is>
      </c>
      <c r="G1" s="1" t="inlineStr">
        <is>
          <t>normal_min</t>
        </is>
      </c>
      <c r="H1" s="1" t="inlineStr">
        <is>
          <t>note</t>
        </is>
      </c>
    </row>
    <row r="2">
      <c r="A2" t="inlineStr">
        <is>
          <t>S01</t>
        </is>
      </c>
      <c r="B2" t="n">
        <v>5</v>
      </c>
      <c r="C2" t="n">
        <v>2</v>
      </c>
      <c r="D2" t="n">
        <v>12.06</v>
      </c>
      <c r="E2" t="n">
        <v>1970</v>
      </c>
      <c r="F2" t="n">
        <v>3</v>
      </c>
      <c r="G2" t="n">
        <v>1.298</v>
      </c>
    </row>
    <row r="3">
      <c r="A3" t="inlineStr">
        <is>
          <t>S02</t>
        </is>
      </c>
      <c r="B3" t="n">
        <v>11</v>
      </c>
      <c r="C3" t="n">
        <v>4</v>
      </c>
      <c r="D3" t="n">
        <v>13.75</v>
      </c>
      <c r="E3" t="n">
        <v>2190</v>
      </c>
      <c r="F3" t="n">
        <v>4</v>
      </c>
      <c r="G3" t="n">
        <v>1.991</v>
      </c>
    </row>
    <row r="4">
      <c r="A4" t="inlineStr">
        <is>
          <t>S03</t>
        </is>
      </c>
      <c r="B4" t="n">
        <v>3</v>
      </c>
      <c r="C4" t="n">
        <v>1</v>
      </c>
      <c r="D4" t="n">
        <v>4.2</v>
      </c>
      <c r="E4" t="n">
        <v>990</v>
      </c>
      <c r="F4" t="n">
        <v>2</v>
      </c>
      <c r="G4" t="n">
        <v>0.712</v>
      </c>
    </row>
    <row r="5">
      <c r="A5" t="inlineStr">
        <is>
          <t>S04</t>
        </is>
      </c>
      <c r="B5" t="n">
        <v>11</v>
      </c>
      <c r="C5" t="n">
        <v>6</v>
      </c>
      <c r="D5" t="n">
        <v>4.68</v>
      </c>
      <c r="E5" t="n">
        <v>1570</v>
      </c>
      <c r="F5" t="n">
        <v>2</v>
      </c>
      <c r="G5" t="n">
        <v>2.068</v>
      </c>
    </row>
    <row r="6">
      <c r="A6" t="inlineStr">
        <is>
          <t>S05</t>
        </is>
      </c>
      <c r="B6" t="n">
        <v>1</v>
      </c>
      <c r="C6" t="n">
        <v>0</v>
      </c>
      <c r="D6" t="n">
        <v>8.880000000000001</v>
      </c>
      <c r="E6" t="n">
        <v>460</v>
      </c>
      <c r="F6" t="n">
        <v>6</v>
      </c>
      <c r="G6" t="n">
        <v>0.507</v>
      </c>
    </row>
    <row r="7">
      <c r="A7" t="inlineStr">
        <is>
          <t>S06</t>
        </is>
      </c>
      <c r="B7" t="n">
        <v>7</v>
      </c>
      <c r="C7" t="n">
        <v>6</v>
      </c>
      <c r="D7" t="n">
        <v>6.7</v>
      </c>
      <c r="E7" t="n">
        <v>1940</v>
      </c>
      <c r="F7" t="n">
        <v>2</v>
      </c>
      <c r="G7" t="n">
        <v>1.779</v>
      </c>
    </row>
    <row r="8">
      <c r="A8" t="inlineStr">
        <is>
          <t>S07</t>
        </is>
      </c>
      <c r="B8" t="n">
        <v>1</v>
      </c>
      <c r="C8" t="n">
        <v>0</v>
      </c>
      <c r="D8" t="n">
        <v>1.75</v>
      </c>
      <c r="E8" t="n">
        <v>390</v>
      </c>
      <c r="F8" t="n">
        <v>3</v>
      </c>
      <c r="G8" t="n">
        <v>0.326</v>
      </c>
    </row>
    <row r="9">
      <c r="A9" t="inlineStr">
        <is>
          <t>S08</t>
        </is>
      </c>
      <c r="B9" t="n">
        <v>7</v>
      </c>
      <c r="C9" t="n">
        <v>1</v>
      </c>
      <c r="D9" t="n">
        <v>27.63</v>
      </c>
      <c r="E9" t="n">
        <v>2200</v>
      </c>
      <c r="F9" t="n">
        <v>4</v>
      </c>
      <c r="G9" t="n">
        <v>1.713</v>
      </c>
    </row>
    <row r="10">
      <c r="A10" t="inlineStr">
        <is>
          <t>S09</t>
        </is>
      </c>
      <c r="B10" t="n">
        <v>5</v>
      </c>
      <c r="C10" t="n">
        <v>1</v>
      </c>
      <c r="D10" t="n">
        <v>6.47</v>
      </c>
      <c r="E10" t="n">
        <v>1420</v>
      </c>
      <c r="F10" t="n">
        <v>2</v>
      </c>
      <c r="G10" t="n">
        <v>1.027</v>
      </c>
    </row>
    <row r="11">
      <c r="A11" t="inlineStr">
        <is>
          <t>S10</t>
        </is>
      </c>
      <c r="B11" t="n">
        <v>8</v>
      </c>
      <c r="C11" t="n">
        <v>2</v>
      </c>
      <c r="D11" t="n">
        <v>4.66</v>
      </c>
      <c r="E11" t="n">
        <v>450</v>
      </c>
      <c r="F11" t="n">
        <v>3</v>
      </c>
      <c r="G11" t="n">
        <v>1.231</v>
      </c>
    </row>
    <row r="12">
      <c r="A12" t="inlineStr">
        <is>
          <t>S11</t>
        </is>
      </c>
      <c r="B12" t="n">
        <v>4</v>
      </c>
      <c r="C12" t="n">
        <v>0</v>
      </c>
      <c r="D12" t="n">
        <v>1.84</v>
      </c>
      <c r="E12" t="n">
        <v>780</v>
      </c>
      <c r="F12" t="n">
        <v>2</v>
      </c>
      <c r="G12" t="n">
        <v>0.584</v>
      </c>
    </row>
    <row r="13">
      <c r="A13" t="inlineStr">
        <is>
          <t>S12</t>
        </is>
      </c>
      <c r="B13" t="n">
        <v>8</v>
      </c>
      <c r="C13" t="n">
        <v>2</v>
      </c>
      <c r="D13" t="n">
        <v>29.15</v>
      </c>
      <c r="E13" t="n">
        <v>2210</v>
      </c>
      <c r="F13" t="n">
        <v>6</v>
      </c>
      <c r="G13" t="n">
        <v>1.822</v>
      </c>
    </row>
    <row r="14">
      <c r="A14" t="inlineStr">
        <is>
          <t>S13</t>
        </is>
      </c>
      <c r="B14" t="n">
        <v>4</v>
      </c>
      <c r="C14" t="n">
        <v>1</v>
      </c>
      <c r="D14" t="n">
        <v>10.84</v>
      </c>
      <c r="E14" t="n">
        <v>2030</v>
      </c>
      <c r="F14" t="n">
        <v>2</v>
      </c>
      <c r="G14" t="n">
        <v>0.987</v>
      </c>
    </row>
    <row r="15">
      <c r="A15" t="inlineStr">
        <is>
          <t>S14</t>
        </is>
      </c>
      <c r="B15" t="n">
        <v>9</v>
      </c>
      <c r="C15" t="n">
        <v>3</v>
      </c>
      <c r="D15" t="n">
        <v>2.35</v>
      </c>
      <c r="E15" t="n">
        <v>740</v>
      </c>
      <c r="F15" t="n">
        <v>1.5</v>
      </c>
      <c r="G15" t="n">
        <v>1.339</v>
      </c>
    </row>
    <row r="16">
      <c r="A16" t="inlineStr">
        <is>
          <t>S15</t>
        </is>
      </c>
      <c r="B16" t="n">
        <v>6</v>
      </c>
      <c r="C16" t="n">
        <v>3</v>
      </c>
      <c r="D16" t="n">
        <v>0.64</v>
      </c>
      <c r="E16" t="n">
        <v>200</v>
      </c>
      <c r="F16" t="n">
        <v>1.5</v>
      </c>
      <c r="G16" t="n">
        <v>1.086</v>
      </c>
    </row>
    <row r="17">
      <c r="A17" t="inlineStr">
        <is>
          <t>S16</t>
        </is>
      </c>
      <c r="B17" t="n">
        <v>12</v>
      </c>
      <c r="C17" t="n">
        <v>4</v>
      </c>
      <c r="D17" t="n">
        <v>1.73</v>
      </c>
      <c r="E17" t="n">
        <v>1050</v>
      </c>
      <c r="F17" t="n">
        <v>1.5</v>
      </c>
      <c r="G17" t="n">
        <v>1.787</v>
      </c>
    </row>
    <row r="18">
      <c r="A18" t="inlineStr">
        <is>
          <t>S17</t>
        </is>
      </c>
      <c r="B18" t="n">
        <v>11</v>
      </c>
      <c r="C18" t="n">
        <v>6</v>
      </c>
      <c r="D18" t="n">
        <v>4.59</v>
      </c>
      <c r="E18" t="n">
        <v>1770</v>
      </c>
      <c r="F18" t="n">
        <v>3</v>
      </c>
      <c r="G18" t="n">
        <v>2.105</v>
      </c>
    </row>
    <row r="19">
      <c r="A19" t="inlineStr">
        <is>
          <t>S18</t>
        </is>
      </c>
      <c r="B19" t="n">
        <v>2</v>
      </c>
      <c r="C19" t="n">
        <v>1</v>
      </c>
      <c r="D19" t="n">
        <v>7.18</v>
      </c>
      <c r="E19" t="n">
        <v>1830</v>
      </c>
      <c r="F19" t="n">
        <v>2</v>
      </c>
      <c r="G19" t="n">
        <v>0.738</v>
      </c>
    </row>
    <row r="20">
      <c r="A20" t="inlineStr">
        <is>
          <t>S19</t>
        </is>
      </c>
      <c r="B20" t="n">
        <v>1</v>
      </c>
      <c r="C20" t="n">
        <v>0</v>
      </c>
      <c r="D20" t="n">
        <v>5.76</v>
      </c>
      <c r="E20" t="n">
        <v>470</v>
      </c>
      <c r="F20" t="n">
        <v>4</v>
      </c>
      <c r="G20" t="n">
        <v>0.404</v>
      </c>
    </row>
    <row r="21">
      <c r="A21" t="inlineStr">
        <is>
          <t>S20</t>
        </is>
      </c>
      <c r="B21" t="n">
        <v>9</v>
      </c>
      <c r="C21" t="n">
        <v>1</v>
      </c>
      <c r="D21" t="n">
        <v>4.4</v>
      </c>
      <c r="E21" t="n">
        <v>1780</v>
      </c>
      <c r="F21" t="n">
        <v>1.5</v>
      </c>
      <c r="G21" t="n">
        <v>1.287</v>
      </c>
    </row>
    <row r="22">
      <c r="A22" t="inlineStr">
        <is>
          <t>S21</t>
        </is>
      </c>
      <c r="B22" t="n">
        <v>10</v>
      </c>
      <c r="C22" t="n">
        <v>2</v>
      </c>
      <c r="D22" t="n">
        <v>18.46</v>
      </c>
      <c r="E22" t="n">
        <v>1470</v>
      </c>
      <c r="F22" t="n">
        <v>4</v>
      </c>
      <c r="G22" t="n">
        <v>1.783</v>
      </c>
    </row>
    <row r="23">
      <c r="A23" t="inlineStr">
        <is>
          <t>S22</t>
        </is>
      </c>
      <c r="B23" t="n">
        <v>8</v>
      </c>
      <c r="C23" t="n">
        <v>0</v>
      </c>
      <c r="D23" t="n">
        <v>1.45</v>
      </c>
      <c r="E23" t="n">
        <v>220</v>
      </c>
      <c r="F23" t="n">
        <v>2</v>
      </c>
      <c r="G23" t="n">
        <v>0.863</v>
      </c>
    </row>
    <row r="24">
      <c r="A24" t="inlineStr">
        <is>
          <t>S23</t>
        </is>
      </c>
      <c r="B24" t="n">
        <v>3</v>
      </c>
      <c r="C24" t="n">
        <v>2</v>
      </c>
      <c r="D24" t="n">
        <v>6.5</v>
      </c>
      <c r="E24" t="n">
        <v>1010</v>
      </c>
      <c r="F24" t="n">
        <v>2</v>
      </c>
      <c r="G24" t="n">
        <v>0.896</v>
      </c>
    </row>
    <row r="25">
      <c r="A25" t="inlineStr">
        <is>
          <t>S24</t>
        </is>
      </c>
      <c r="B25" t="n">
        <v>5</v>
      </c>
      <c r="C25" t="n">
        <v>2</v>
      </c>
      <c r="D25" t="n">
        <v>7.19</v>
      </c>
      <c r="E25" t="n">
        <v>1970</v>
      </c>
      <c r="F25" t="n">
        <v>1.5</v>
      </c>
      <c r="G25" t="n">
        <v>1.181</v>
      </c>
    </row>
    <row r="26">
      <c r="A26" t="inlineStr">
        <is>
          <t>S25</t>
        </is>
      </c>
      <c r="B26" t="n">
        <v>12</v>
      </c>
      <c r="C26" t="n">
        <v>5</v>
      </c>
      <c r="D26" t="n">
        <v>7.22</v>
      </c>
      <c r="E26" t="n">
        <v>2300</v>
      </c>
      <c r="F26" t="n">
        <v>2</v>
      </c>
      <c r="G26" t="n">
        <v>2.025</v>
      </c>
    </row>
    <row r="27">
      <c r="A27" t="inlineStr">
        <is>
          <t>S26</t>
        </is>
      </c>
      <c r="B27" t="n">
        <v>1</v>
      </c>
      <c r="C27" t="n">
        <v>0</v>
      </c>
      <c r="D27" t="n">
        <v>5.58</v>
      </c>
      <c r="E27" t="n">
        <v>1280</v>
      </c>
      <c r="F27" t="n">
        <v>1.5</v>
      </c>
      <c r="G27" t="n">
        <v>0.491</v>
      </c>
    </row>
    <row r="28">
      <c r="A28" t="inlineStr">
        <is>
          <t>S27</t>
        </is>
      </c>
      <c r="B28" t="n">
        <v>8</v>
      </c>
      <c r="C28" t="n">
        <v>2</v>
      </c>
      <c r="D28" t="n">
        <v>16.5</v>
      </c>
      <c r="E28" t="n">
        <v>1430</v>
      </c>
      <c r="F28" t="n">
        <v>3</v>
      </c>
      <c r="G28" t="n">
        <v>1.584</v>
      </c>
      <c r="H28" t="inlineStr">
        <is>
          <t>bends corrected 3 -&gt; 8 from study file (Module 08)</t>
        </is>
      </c>
    </row>
    <row r="29">
      <c r="A29" t="inlineStr">
        <is>
          <t>S28</t>
        </is>
      </c>
      <c r="B29" t="n">
        <v>2</v>
      </c>
      <c r="C29" t="n">
        <v>0</v>
      </c>
      <c r="D29" t="n">
        <v>4.53</v>
      </c>
      <c r="E29" t="n">
        <v>1030</v>
      </c>
      <c r="F29" t="n">
        <v>2</v>
      </c>
      <c r="G29" t="n">
        <v>0.485</v>
      </c>
    </row>
    <row r="30">
      <c r="A30" t="inlineStr">
        <is>
          <t>S29</t>
        </is>
      </c>
      <c r="B30" t="n">
        <v>2</v>
      </c>
      <c r="C30" t="n">
        <v>1</v>
      </c>
      <c r="D30" t="n">
        <v>18.63</v>
      </c>
      <c r="E30" t="n">
        <v>1840</v>
      </c>
      <c r="F30" t="n">
        <v>3</v>
      </c>
      <c r="G30" t="n">
        <v>0.952</v>
      </c>
    </row>
    <row r="31">
      <c r="A31" t="inlineStr">
        <is>
          <t>S30</t>
        </is>
      </c>
      <c r="B31" t="n">
        <v>7</v>
      </c>
      <c r="C31" t="n">
        <v>2</v>
      </c>
      <c r="D31" t="n">
        <v>1.72</v>
      </c>
      <c r="E31" t="n">
        <v>730</v>
      </c>
      <c r="F31" t="n">
        <v>3</v>
      </c>
      <c r="G31" t="n">
        <v>1.135</v>
      </c>
    </row>
    <row r="32">
      <c r="A32" t="inlineStr">
        <is>
          <t>S31</t>
        </is>
      </c>
      <c r="B32" t="n">
        <v>8</v>
      </c>
      <c r="C32" t="n">
        <v>3</v>
      </c>
      <c r="D32" t="n">
        <v>26.49</v>
      </c>
      <c r="E32" t="n">
        <v>1250</v>
      </c>
      <c r="F32" t="n">
        <v>6</v>
      </c>
      <c r="G32" t="n">
        <v>1.964</v>
      </c>
    </row>
    <row r="33">
      <c r="A33" t="inlineStr">
        <is>
          <t>S32</t>
        </is>
      </c>
      <c r="B33" t="n">
        <v>10</v>
      </c>
      <c r="C33" t="n">
        <v>6</v>
      </c>
      <c r="D33" t="n">
        <v>12.26</v>
      </c>
      <c r="E33" t="n">
        <v>1260</v>
      </c>
      <c r="F33" t="n">
        <v>4</v>
      </c>
      <c r="G33" t="n">
        <v>2.103</v>
      </c>
    </row>
    <row r="34">
      <c r="A34" t="inlineStr">
        <is>
          <t>S33</t>
        </is>
      </c>
      <c r="B34" t="n">
        <v>12</v>
      </c>
      <c r="C34" t="n">
        <v>0</v>
      </c>
      <c r="D34" t="n">
        <v>7.15</v>
      </c>
      <c r="E34" t="n">
        <v>2170</v>
      </c>
      <c r="F34" t="n">
        <v>1.5</v>
      </c>
      <c r="G34" t="n">
        <v>1.551</v>
      </c>
    </row>
    <row r="35">
      <c r="A35" t="inlineStr">
        <is>
          <t>S34</t>
        </is>
      </c>
      <c r="B35" t="n">
        <v>3</v>
      </c>
      <c r="C35" t="n">
        <v>0</v>
      </c>
      <c r="D35" t="n">
        <v>5.92</v>
      </c>
      <c r="E35" t="n">
        <v>920</v>
      </c>
      <c r="F35" t="n">
        <v>2</v>
      </c>
      <c r="G35" t="n">
        <v>0.629</v>
      </c>
    </row>
    <row r="36">
      <c r="A36" t="inlineStr">
        <is>
          <t>S35</t>
        </is>
      </c>
      <c r="B36" t="n">
        <v>9</v>
      </c>
      <c r="C36" t="n">
        <v>1</v>
      </c>
      <c r="D36" t="n">
        <v>3.31</v>
      </c>
      <c r="E36" t="n">
        <v>310</v>
      </c>
      <c r="F36" t="n">
        <v>4</v>
      </c>
      <c r="G36" t="n">
        <v>1.276</v>
      </c>
    </row>
    <row r="37">
      <c r="A37" t="inlineStr">
        <is>
          <t>S36</t>
        </is>
      </c>
      <c r="B37" t="n">
        <v>2</v>
      </c>
      <c r="C37" t="n">
        <v>0</v>
      </c>
      <c r="D37" t="n">
        <v>17.05</v>
      </c>
      <c r="E37" t="n">
        <v>2130</v>
      </c>
      <c r="F37" t="n">
        <v>3</v>
      </c>
      <c r="G37" t="n">
        <v>0.792</v>
      </c>
    </row>
    <row r="38">
      <c r="A38" t="inlineStr">
        <is>
          <t>S37</t>
        </is>
      </c>
      <c r="B38" t="n">
        <v>1</v>
      </c>
      <c r="C38" t="n">
        <v>0</v>
      </c>
      <c r="D38" t="n">
        <v>9.84</v>
      </c>
      <c r="E38" t="n">
        <v>1990</v>
      </c>
      <c r="F38" t="n">
        <v>3</v>
      </c>
      <c r="G38" t="n">
        <v>0.611</v>
      </c>
    </row>
    <row r="39">
      <c r="A39" t="inlineStr">
        <is>
          <t>S38</t>
        </is>
      </c>
      <c r="B39" t="n">
        <v>2</v>
      </c>
      <c r="C39" t="n">
        <v>1</v>
      </c>
      <c r="D39" t="n">
        <v>14.89</v>
      </c>
      <c r="E39" t="n">
        <v>1090</v>
      </c>
      <c r="F39" t="n">
        <v>6</v>
      </c>
      <c r="G39" t="n">
        <v>0.874</v>
      </c>
    </row>
    <row r="40">
      <c r="A40" t="inlineStr">
        <is>
          <t>S39</t>
        </is>
      </c>
      <c r="B40" t="n">
        <v>8</v>
      </c>
      <c r="C40" t="n">
        <v>0</v>
      </c>
      <c r="D40" t="n">
        <v>8.31</v>
      </c>
      <c r="E40" t="n">
        <v>1470</v>
      </c>
      <c r="F40" t="n">
        <v>2</v>
      </c>
      <c r="G40" t="n">
        <v>1.12</v>
      </c>
    </row>
    <row r="41">
      <c r="A41" t="inlineStr">
        <is>
          <t>S40</t>
        </is>
      </c>
      <c r="B41" t="n">
        <v>6</v>
      </c>
      <c r="C41" t="n">
        <v>1</v>
      </c>
      <c r="D41" t="n">
        <v>10.69</v>
      </c>
      <c r="E41" t="n">
        <v>1480</v>
      </c>
      <c r="F41" t="n">
        <v>2</v>
      </c>
      <c r="G41" t="n">
        <v>1.259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Run model: normal min/piece = b0 + b1*bends + b2*flips + b3*weight_kg + b4*length_mm</t>
        </is>
      </c>
    </row>
    <row r="3">
      <c r="A3" t="inlineStr">
        <is>
          <t>LINEST output (rows: coefficients, std errors, R2 &amp; SE, F &amp; df, SS reg &amp; SS resid). Columns run in REVERSE order of X.</t>
        </is>
      </c>
    </row>
    <row r="4">
      <c r="B4" s="1" t="inlineStr">
        <is>
          <t>length_mm</t>
        </is>
      </c>
      <c r="C4" s="1" t="inlineStr">
        <is>
          <t>weight_kg</t>
        </is>
      </c>
      <c r="D4" s="1" t="inlineStr">
        <is>
          <t>flips</t>
        </is>
      </c>
      <c r="E4" s="1" t="inlineStr">
        <is>
          <t>bends</t>
        </is>
      </c>
      <c r="F4" s="1" t="inlineStr">
        <is>
          <t>Intercept</t>
        </is>
      </c>
    </row>
    <row r="5">
      <c r="A5" t="inlineStr">
        <is>
          <t>coefficient</t>
        </is>
      </c>
      <c r="B5">
        <f t="array" ref="B5:F9">LINEST(RunStudies!G2:G41,RunStudies!B2:E41,TRUE,TRUE)</f>
        <v/>
      </c>
    </row>
    <row r="6">
      <c r="A6" t="inlineStr">
        <is>
          <t>std error</t>
        </is>
      </c>
    </row>
    <row r="7">
      <c r="A7" t="inlineStr">
        <is>
          <t>R2 | SE</t>
        </is>
      </c>
    </row>
    <row r="8">
      <c r="A8" t="inlineStr">
        <is>
          <t>F | df</t>
        </is>
      </c>
    </row>
    <row r="9">
      <c r="A9" t="inlineStr">
        <is>
          <t>SS reg | SS resid</t>
        </is>
      </c>
    </row>
    <row r="12">
      <c r="A12" s="1" t="inlineStr">
        <is>
          <t>Term</t>
        </is>
      </c>
      <c r="B12" s="1" t="inlineStr">
        <is>
          <t>Coefficient</t>
        </is>
      </c>
      <c r="C12" s="1" t="inlineStr">
        <is>
          <t>Std error</t>
        </is>
      </c>
      <c r="D12" s="1" t="inlineStr">
        <is>
          <t>t</t>
        </is>
      </c>
    </row>
    <row r="13">
      <c r="A13" t="inlineStr">
        <is>
          <t>Intercept</t>
        </is>
      </c>
      <c r="B13">
        <f>F5</f>
        <v/>
      </c>
      <c r="C13">
        <f>F6</f>
        <v/>
      </c>
      <c r="D13">
        <f>B13/C13</f>
        <v/>
      </c>
    </row>
    <row r="14">
      <c r="A14" t="inlineStr">
        <is>
          <t>bends</t>
        </is>
      </c>
      <c r="B14">
        <f>E5</f>
        <v/>
      </c>
      <c r="C14">
        <f>E6</f>
        <v/>
      </c>
      <c r="D14">
        <f>B14/C14</f>
        <v/>
      </c>
    </row>
    <row r="15">
      <c r="A15" t="inlineStr">
        <is>
          <t>flips</t>
        </is>
      </c>
      <c r="B15">
        <f>D5</f>
        <v/>
      </c>
      <c r="C15">
        <f>D6</f>
        <v/>
      </c>
      <c r="D15">
        <f>B15/C15</f>
        <v/>
      </c>
    </row>
    <row r="16">
      <c r="A16" t="inlineStr">
        <is>
          <t>weight_kg</t>
        </is>
      </c>
      <c r="B16">
        <f>C5</f>
        <v/>
      </c>
      <c r="C16">
        <f>C6</f>
        <v/>
      </c>
      <c r="D16">
        <f>B16/C16</f>
        <v/>
      </c>
    </row>
    <row r="17">
      <c r="A17" t="inlineStr">
        <is>
          <t>length_mm</t>
        </is>
      </c>
      <c r="B17">
        <f>B5</f>
        <v/>
      </c>
      <c r="C17">
        <f>B6</f>
        <v/>
      </c>
      <c r="D17">
        <f>B17/C17</f>
        <v/>
      </c>
    </row>
    <row r="19">
      <c r="A19" t="inlineStr">
        <is>
          <t>R2</t>
        </is>
      </c>
      <c r="B19">
        <f>B7</f>
        <v/>
      </c>
    </row>
    <row r="20">
      <c r="A20" t="inlineStr">
        <is>
          <t>Std error of estimate (min)</t>
        </is>
      </c>
      <c r="B20">
        <f>C7</f>
        <v/>
      </c>
    </row>
    <row r="21">
      <c r="A21" t="inlineStr">
        <is>
          <t>Observations</t>
        </is>
      </c>
      <c r="B21">
        <f>COUNT(RunStudies!G2:G41)</f>
        <v/>
      </c>
    </row>
    <row r="22">
      <c r="A22" t="inlineStr">
        <is>
          <t>Residual df</t>
        </is>
      </c>
      <c r="B22">
        <f>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6" max="6"/>
  </cols>
  <sheetData>
    <row r="1">
      <c r="A1" s="1" t="inlineStr">
        <is>
          <t>study</t>
        </is>
      </c>
      <c r="B1" s="1" t="inlineStr">
        <is>
          <t>tool_segments</t>
        </is>
      </c>
      <c r="C1" s="1" t="inlineStr">
        <is>
          <t>new_program</t>
        </is>
      </c>
      <c r="D1" s="1" t="inlineStr">
        <is>
          <t>normal_min</t>
        </is>
      </c>
      <c r="F1" s="2" t="inlineStr">
        <is>
          <t>Setup model LINEST (reverse order: new_program, tool_segments, Intercept)</t>
        </is>
      </c>
    </row>
    <row r="2">
      <c r="A2" t="inlineStr">
        <is>
          <t>U01</t>
        </is>
      </c>
      <c r="B2" t="n">
        <v>8</v>
      </c>
      <c r="C2" t="n">
        <v>0</v>
      </c>
      <c r="D2" t="n">
        <v>28.63</v>
      </c>
      <c r="G2" s="1" t="inlineStr">
        <is>
          <t>new_program</t>
        </is>
      </c>
      <c r="H2" s="1" t="inlineStr">
        <is>
          <t>tool_segments</t>
        </is>
      </c>
      <c r="I2" s="1" t="inlineStr">
        <is>
          <t>Intercept</t>
        </is>
      </c>
    </row>
    <row r="3">
      <c r="A3" t="inlineStr">
        <is>
          <t>U02</t>
        </is>
      </c>
      <c r="B3" t="n">
        <v>4</v>
      </c>
      <c r="C3" t="n">
        <v>0</v>
      </c>
      <c r="D3" t="n">
        <v>16.45</v>
      </c>
      <c r="F3" t="inlineStr">
        <is>
          <t>coefficient</t>
        </is>
      </c>
      <c r="G3">
        <f t="array" ref="G3:I7">LINEST(D2:D25,B2:C25,TRUE,TRUE)</f>
        <v/>
      </c>
    </row>
    <row r="4">
      <c r="A4" t="inlineStr">
        <is>
          <t>U03</t>
        </is>
      </c>
      <c r="B4" t="n">
        <v>2</v>
      </c>
      <c r="C4" t="n">
        <v>1</v>
      </c>
      <c r="D4" t="n">
        <v>21.95</v>
      </c>
      <c r="F4" t="inlineStr">
        <is>
          <t>std error</t>
        </is>
      </c>
    </row>
    <row r="5">
      <c r="A5" t="inlineStr">
        <is>
          <t>U04</t>
        </is>
      </c>
      <c r="B5" t="n">
        <v>1</v>
      </c>
      <c r="C5" t="n">
        <v>0</v>
      </c>
      <c r="D5" t="n">
        <v>9.779999999999999</v>
      </c>
      <c r="F5" t="inlineStr">
        <is>
          <t>R2 | SE</t>
        </is>
      </c>
    </row>
    <row r="6">
      <c r="A6" t="inlineStr">
        <is>
          <t>U05</t>
        </is>
      </c>
      <c r="B6" t="n">
        <v>4</v>
      </c>
      <c r="C6" t="n">
        <v>1</v>
      </c>
      <c r="D6" t="n">
        <v>26.43</v>
      </c>
      <c r="F6" t="inlineStr">
        <is>
          <t>F | df</t>
        </is>
      </c>
    </row>
    <row r="7">
      <c r="A7" t="inlineStr">
        <is>
          <t>U06</t>
        </is>
      </c>
      <c r="B7" t="n">
        <v>2</v>
      </c>
      <c r="C7" t="n">
        <v>0</v>
      </c>
      <c r="D7" t="n">
        <v>10.54</v>
      </c>
      <c r="F7" t="inlineStr">
        <is>
          <t>SS reg | SS resid</t>
        </is>
      </c>
    </row>
    <row r="8">
      <c r="A8" t="inlineStr">
        <is>
          <t>U07</t>
        </is>
      </c>
      <c r="B8" t="n">
        <v>7</v>
      </c>
      <c r="C8" t="n">
        <v>1</v>
      </c>
      <c r="D8" t="n">
        <v>34.94</v>
      </c>
    </row>
    <row r="9">
      <c r="A9" t="inlineStr">
        <is>
          <t>U08</t>
        </is>
      </c>
      <c r="B9" t="n">
        <v>6</v>
      </c>
      <c r="C9" t="n">
        <v>1</v>
      </c>
      <c r="D9" t="n">
        <v>32.6</v>
      </c>
    </row>
    <row r="10">
      <c r="A10" t="inlineStr">
        <is>
          <t>U09</t>
        </is>
      </c>
      <c r="B10" t="n">
        <v>5</v>
      </c>
      <c r="C10" t="n">
        <v>0</v>
      </c>
      <c r="D10" t="n">
        <v>19.2</v>
      </c>
    </row>
    <row r="11">
      <c r="A11" t="inlineStr">
        <is>
          <t>U10</t>
        </is>
      </c>
      <c r="B11" t="n">
        <v>2</v>
      </c>
      <c r="C11" t="n">
        <v>1</v>
      </c>
      <c r="D11" t="n">
        <v>20.6</v>
      </c>
    </row>
    <row r="12">
      <c r="A12" t="inlineStr">
        <is>
          <t>U11</t>
        </is>
      </c>
      <c r="B12" t="n">
        <v>6</v>
      </c>
      <c r="C12" t="n">
        <v>0</v>
      </c>
      <c r="D12" t="n">
        <v>23.85</v>
      </c>
    </row>
    <row r="13">
      <c r="A13" t="inlineStr">
        <is>
          <t>U12</t>
        </is>
      </c>
      <c r="B13" t="n">
        <v>10</v>
      </c>
      <c r="C13" t="n">
        <v>1</v>
      </c>
      <c r="D13" t="n">
        <v>42.42</v>
      </c>
    </row>
    <row r="14">
      <c r="A14" t="inlineStr">
        <is>
          <t>U13</t>
        </is>
      </c>
      <c r="B14" t="n">
        <v>4</v>
      </c>
      <c r="C14" t="n">
        <v>0</v>
      </c>
      <c r="D14" t="n">
        <v>16.93</v>
      </c>
    </row>
    <row r="15">
      <c r="A15" t="inlineStr">
        <is>
          <t>U14</t>
        </is>
      </c>
      <c r="B15" t="n">
        <v>4</v>
      </c>
      <c r="C15" t="n">
        <v>1</v>
      </c>
      <c r="D15" t="n">
        <v>30.06</v>
      </c>
    </row>
    <row r="16">
      <c r="A16" t="inlineStr">
        <is>
          <t>U15</t>
        </is>
      </c>
      <c r="B16" t="n">
        <v>9</v>
      </c>
      <c r="C16" t="n">
        <v>0</v>
      </c>
      <c r="D16" t="n">
        <v>32.06</v>
      </c>
    </row>
    <row r="17">
      <c r="A17" t="inlineStr">
        <is>
          <t>U16</t>
        </is>
      </c>
      <c r="B17" t="n">
        <v>7</v>
      </c>
      <c r="C17" t="n">
        <v>0</v>
      </c>
      <c r="D17" t="n">
        <v>25.31</v>
      </c>
    </row>
    <row r="18">
      <c r="A18" t="inlineStr">
        <is>
          <t>U17</t>
        </is>
      </c>
      <c r="B18" t="n">
        <v>3</v>
      </c>
      <c r="C18" t="n">
        <v>0</v>
      </c>
      <c r="D18" t="n">
        <v>15.87</v>
      </c>
    </row>
    <row r="19">
      <c r="A19" t="inlineStr">
        <is>
          <t>U18</t>
        </is>
      </c>
      <c r="B19" t="n">
        <v>6</v>
      </c>
      <c r="C19" t="n">
        <v>0</v>
      </c>
      <c r="D19" t="n">
        <v>21.41</v>
      </c>
    </row>
    <row r="20">
      <c r="A20" t="inlineStr">
        <is>
          <t>U19</t>
        </is>
      </c>
      <c r="B20" t="n">
        <v>3</v>
      </c>
      <c r="C20" t="n">
        <v>1</v>
      </c>
      <c r="D20" t="n">
        <v>25.33</v>
      </c>
    </row>
    <row r="21">
      <c r="A21" t="inlineStr">
        <is>
          <t>U20</t>
        </is>
      </c>
      <c r="B21" t="n">
        <v>9</v>
      </c>
      <c r="C21" t="n">
        <v>0</v>
      </c>
      <c r="D21" t="n">
        <v>33.27</v>
      </c>
    </row>
    <row r="22">
      <c r="A22" t="inlineStr">
        <is>
          <t>U21</t>
        </is>
      </c>
      <c r="B22" t="n">
        <v>1</v>
      </c>
      <c r="C22" t="n">
        <v>0</v>
      </c>
      <c r="D22" t="n">
        <v>10.58</v>
      </c>
    </row>
    <row r="23">
      <c r="A23" t="inlineStr">
        <is>
          <t>U22</t>
        </is>
      </c>
      <c r="B23" t="n">
        <v>9</v>
      </c>
      <c r="C23" t="n">
        <v>0</v>
      </c>
      <c r="D23" t="n">
        <v>30.82</v>
      </c>
    </row>
    <row r="24">
      <c r="A24" t="inlineStr">
        <is>
          <t>U23</t>
        </is>
      </c>
      <c r="B24" t="n">
        <v>7</v>
      </c>
      <c r="C24" t="n">
        <v>0</v>
      </c>
      <c r="D24" t="n">
        <v>25.51</v>
      </c>
    </row>
    <row r="25">
      <c r="A25" t="inlineStr">
        <is>
          <t>U24</t>
        </is>
      </c>
      <c r="B25" t="n">
        <v>4</v>
      </c>
      <c r="C25" t="n">
        <v>0</v>
      </c>
      <c r="D25" t="n">
        <v>18.87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</cols>
  <sheetData>
    <row r="1">
      <c r="A1" s="2" t="inlineStr">
        <is>
          <t>Press-brake job standard (yellow cells are inputs)</t>
        </is>
      </c>
    </row>
    <row r="3">
      <c r="A3" t="inlineStr">
        <is>
          <t>Bends</t>
        </is>
      </c>
      <c r="B3" s="3" t="n">
        <v>5</v>
      </c>
    </row>
    <row r="4">
      <c r="A4" t="inlineStr">
        <is>
          <t>Flips</t>
        </is>
      </c>
      <c r="B4" s="3" t="n">
        <v>1</v>
      </c>
    </row>
    <row r="5">
      <c r="A5" t="inlineStr">
        <is>
          <t>Weight (kg)</t>
        </is>
      </c>
      <c r="B5" s="3" t="n">
        <v>3.85</v>
      </c>
    </row>
    <row r="6">
      <c r="A6" t="inlineStr">
        <is>
          <t>Length (mm)</t>
        </is>
      </c>
      <c r="B6" s="3" t="n">
        <v>2230</v>
      </c>
    </row>
    <row r="7">
      <c r="A7" t="inlineStr">
        <is>
          <t>Tool segments changed</t>
        </is>
      </c>
      <c r="B7" s="3" t="n">
        <v>7</v>
      </c>
    </row>
    <row r="8">
      <c r="A8" t="inlineStr">
        <is>
          <t>New backgauge program? (1 = yes)</t>
        </is>
      </c>
      <c r="B8" s="3" t="n">
        <v>0</v>
      </c>
    </row>
    <row r="9">
      <c r="A9" t="inlineStr">
        <is>
          <t>Lot quantity</t>
        </is>
      </c>
      <c r="B9" s="3" t="n">
        <v>25</v>
      </c>
    </row>
    <row r="10">
      <c r="A10" t="inlineStr">
        <is>
          <t>PF&amp;D allowance</t>
        </is>
      </c>
      <c r="B10" s="3" t="n">
        <v>0.12</v>
      </c>
    </row>
    <row r="11">
      <c r="A11" t="inlineStr">
        <is>
          <t>Rate ($/standard hour)</t>
        </is>
      </c>
      <c r="B11" s="3" t="n">
        <v>68</v>
      </c>
    </row>
    <row r="13">
      <c r="A13" s="2" t="inlineStr">
        <is>
          <t>Results</t>
        </is>
      </c>
    </row>
    <row r="14">
      <c r="A14" t="inlineStr">
        <is>
          <t>Run, normal min/piece</t>
        </is>
      </c>
      <c r="B14">
        <f>RunModel!B13+RunModel!B14*B3+RunModel!B15*B4+RunModel!B16*B5+RunModel!B17*B6</f>
        <v/>
      </c>
    </row>
    <row r="15">
      <c r="A15" t="inlineStr">
        <is>
          <t>Setup, normal min/lot</t>
        </is>
      </c>
      <c r="B15">
        <f>SetupStudies!I3+SetupStudies!H3*B7+SetupStudies!G3*B8</f>
        <v/>
      </c>
    </row>
    <row r="16">
      <c r="A16" t="inlineStr">
        <is>
          <t>Standard hours for the lot</t>
        </is>
      </c>
      <c r="B16">
        <f>(B15+B9*B14)*(1+B10)/60</f>
        <v/>
      </c>
    </row>
    <row r="17">
      <c r="A17" t="inlineStr">
        <is>
          <t>Standard min/piece (incl. setup share)</t>
        </is>
      </c>
      <c r="B17">
        <f>B16*60/B9</f>
        <v/>
      </c>
    </row>
    <row r="18">
      <c r="A18" t="inlineStr">
        <is>
          <t>Labor + machine cost for the lot ($)</t>
        </is>
      </c>
      <c r="B18">
        <f>B16*B11</f>
        <v/>
      </c>
    </row>
    <row r="19">
      <c r="A19" t="inlineStr">
        <is>
          <t>Range check</t>
        </is>
      </c>
      <c r="B19">
        <f>IF(OR(B3&lt;MIN(RunStudies!B2:B41),B3&gt;MAX(RunStudies!B2:B41),B4&gt;MAX(RunStudies!C2:C41),B5&lt;MIN(RunStudies!D2:D41),B5&gt;MAX(RunStudies!D2:D41),B6&lt;MIN(RunStudies!E2:E41),B6&gt;MAX(RunStudies!E2:E41),B7&gt;MAX(SetupStudies!B2:B25)),"OUTSIDE study range - spot-check with a time study","inside study range")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Same model with the Analysis ToolPak (Excel for Windows or Mac):</t>
        </is>
      </c>
    </row>
    <row r="2">
      <c r="A2" s="4" t="inlineStr">
        <is>
          <t>1. Enable it once: File &gt; Options &gt; Add-ins &gt; Manage Excel Add-ins &gt; Go &gt; tick Analysis ToolPak.</t>
        </is>
      </c>
    </row>
    <row r="3">
      <c r="A3" s="4" t="inlineStr">
        <is>
          <t xml:space="preserve">   (Mac: Tools &gt; Excel Add-ins.) Menu names can differ between Excel versions.</t>
        </is>
      </c>
    </row>
    <row r="4">
      <c r="A4" s="4" t="inlineStr">
        <is>
          <t>2. Data &gt; Data Analysis &gt; Regression.</t>
        </is>
      </c>
    </row>
    <row r="5">
      <c r="A5" s="4" t="inlineStr">
        <is>
          <t>3. Input Y Range: RunStudies!G1:G41. Input X Range: RunStudies!B1:E41 (X columns must be adjacent).</t>
        </is>
      </c>
    </row>
    <row r="6">
      <c r="A6" s="4" t="inlineStr">
        <is>
          <t>4. Tick Labels, Residuals, Standardized Residuals, Residual Plots, Line Fit Plots. Output to a new sheet.</t>
        </is>
      </c>
    </row>
    <row r="7">
      <c r="A7" s="4" t="inlineStr">
        <is>
          <t>5. Compare: coefficients should match RunModel!B13:B17; R Square should match RunModel!B19.</t>
        </is>
      </c>
    </row>
    <row r="8">
      <c r="A8" s="4" t="inlineStr">
        <is>
          <t>6. Read: Significance F (whole model), P-value per coefficient, Standard Error (= SE of estimate).</t>
        </is>
      </c>
    </row>
    <row r="9">
      <c r="A9" s="4" t="inlineStr">
        <is>
          <t>7. Scan Standardized Residuals: |value| &gt; 3 means check that study (Module 08).</t>
        </is>
      </c>
    </row>
    <row r="10">
      <c r="A10" s="4" t="inlineStr">
        <is>
          <t>To test the uncorrected data, change RunStudies!B28 (S27) back to 3 and watch R2 and SE change.</t>
        </is>
      </c>
    </row>
    <row r="11">
      <c r="A11" s="4" t="inlineStr">
        <is>
          <t>The ToolPak output is static: re-run it after any data change. LINEST updates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2026-10-26T21:03:42Z</dcterms:created>
  <dcterms:modified xmlns:dcterms="http://purl.org/dc/terms/" xmlns:xsi="http://www.w3.org/2001/XMLSchema-instance" xsi:type="dcterms:W3CDTF">2026-10-26T21:03:42Z</dcterms:modified>
</cp:coreProperties>
</file>