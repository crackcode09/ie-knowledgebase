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  <sheet xmlns:r="http://schemas.openxmlformats.org/officeDocument/2006/relationships" name="InspectorModel" sheetId="2" state="visible" r:id="rId2"/>
    <sheet xmlns:r="http://schemas.openxmlformats.org/officeDocument/2006/relationships" name="ReviewerModel" sheetId="3" state="visible" r:id="rId3"/>
    <sheet xmlns:r="http://schemas.openxmlformats.org/officeDocument/2006/relationships" name="Hi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Available hours per FTE (average of 2025 leave records)</t>
        </is>
      </c>
    </row>
    <row r="3">
      <c r="A3" t="inlineStr">
        <is>
          <t>Paid hours</t>
        </is>
      </c>
      <c r="B3" s="2" t="n">
        <v>2080</v>
      </c>
    </row>
    <row r="4">
      <c r="A4" t="inlineStr">
        <is>
          <t>Holidays</t>
        </is>
      </c>
      <c r="B4" s="2" t="n">
        <v>88</v>
      </c>
    </row>
    <row r="5">
      <c r="A5" t="inlineStr">
        <is>
          <t>Annual leave</t>
        </is>
      </c>
      <c r="B5" s="2" t="n">
        <v>143.4</v>
      </c>
    </row>
    <row r="6">
      <c r="A6" t="inlineStr">
        <is>
          <t>Sick leave</t>
        </is>
      </c>
      <c r="B6" s="2" t="n">
        <v>56.6</v>
      </c>
    </row>
    <row r="7">
      <c r="A7" t="inlineStr">
        <is>
          <t>Training</t>
        </is>
      </c>
      <c r="B7" s="2" t="n">
        <v>38.9</v>
      </c>
    </row>
    <row r="8">
      <c r="A8" t="inlineStr">
        <is>
          <t>Other leave</t>
        </is>
      </c>
      <c r="B8" s="2" t="n">
        <v>14.9</v>
      </c>
    </row>
    <row r="10">
      <c r="A10" t="inlineStr">
        <is>
          <t>Available hours per FTE</t>
        </is>
      </c>
      <c r="B10">
        <f>B3-SUM(B4:B8)</f>
        <v/>
      </c>
    </row>
    <row r="11">
      <c r="A11" t="inlineStr">
        <is>
          <t>Availability %</t>
        </is>
      </c>
      <c r="B11">
        <f>B10/B3</f>
        <v/>
      </c>
    </row>
    <row r="13">
      <c r="A13" s="1" t="inlineStr">
        <is>
          <t>Relief factors</t>
        </is>
      </c>
    </row>
    <row r="14">
      <c r="A14" t="inlineStr">
        <is>
          <t>Hours a post must be covered per year</t>
        </is>
      </c>
      <c r="B14" s="2" t="n">
        <v>2000</v>
      </c>
    </row>
    <row r="15">
      <c r="A15" t="inlineStr">
        <is>
          <t>FTE per post (relief factor)</t>
        </is>
      </c>
      <c r="B15">
        <f>B14/B10</f>
        <v/>
      </c>
    </row>
    <row r="16">
      <c r="A16" t="inlineStr">
        <is>
          <t>FTE per 24/7 post</t>
        </is>
      </c>
      <c r="B16">
        <f>8760/B10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Inspector workload model (2026 base forecast)</t>
        </is>
      </c>
    </row>
    <row r="3">
      <c r="A3" s="3" t="inlineStr">
        <is>
          <t>Driver</t>
        </is>
      </c>
      <c r="B3" s="3" t="inlineStr">
        <is>
          <t>Annual volume</t>
        </is>
      </c>
      <c r="C3" s="3" t="inlineStr">
        <is>
          <t>Unit time (min)</t>
        </is>
      </c>
      <c r="D3" s="3" t="inlineStr">
        <is>
          <t>Travel per stop (min)</t>
        </is>
      </c>
      <c r="E3" s="3" t="inlineStr">
        <is>
          <t>Hours</t>
        </is>
      </c>
    </row>
    <row r="4">
      <c r="A4" t="inlineStr">
        <is>
          <t>Residential inspections</t>
        </is>
      </c>
      <c r="B4" s="2" t="n">
        <v>21025</v>
      </c>
      <c r="C4" s="2" t="n">
        <v>33.1</v>
      </c>
      <c r="D4">
        <f>$B$11</f>
        <v/>
      </c>
      <c r="E4">
        <f>B4*(C4+D4)/60</f>
        <v/>
      </c>
    </row>
    <row r="5">
      <c r="A5" t="inlineStr">
        <is>
          <t>Commercial inspections</t>
        </is>
      </c>
      <c r="B5" s="2" t="n">
        <v>7756</v>
      </c>
      <c r="C5" s="2" t="n">
        <v>68.2</v>
      </c>
      <c r="D5">
        <f>$B$11</f>
        <v/>
      </c>
      <c r="E5">
        <f>B5*(C5+D5)/60</f>
        <v/>
      </c>
    </row>
    <row r="6">
      <c r="A6" t="inlineStr">
        <is>
          <t>Re-inspections</t>
        </is>
      </c>
      <c r="B6" s="2" t="n">
        <v>5286</v>
      </c>
      <c r="C6" s="2" t="n">
        <v>19.8</v>
      </c>
      <c r="D6">
        <f>$B$11</f>
        <v/>
      </c>
      <c r="E6">
        <f>B6*(C6+D6)/60</f>
        <v/>
      </c>
    </row>
    <row r="7">
      <c r="A7" t="inlineStr">
        <is>
          <t>Complaints</t>
        </is>
      </c>
      <c r="B7" s="2" t="n">
        <v>543</v>
      </c>
      <c r="C7" s="2" t="n">
        <v>77.7</v>
      </c>
      <c r="D7">
        <f>$B$11</f>
        <v/>
      </c>
      <c r="E7">
        <f>B7*(C7+D7)/60</f>
        <v/>
      </c>
    </row>
    <row r="8">
      <c r="A8" t="inlineStr">
        <is>
          <t>Unit-driven hours</t>
        </is>
      </c>
      <c r="E8">
        <f>SUM(E4:E7)</f>
        <v/>
      </c>
    </row>
    <row r="10">
      <c r="A10" s="1" t="inlineStr">
        <is>
          <t>Inputs</t>
        </is>
      </c>
    </row>
    <row r="11">
      <c r="A11" t="inlineStr">
        <is>
          <t>Travel per stop (min)</t>
        </is>
      </c>
      <c r="B11" s="2" t="n">
        <v>18</v>
      </c>
    </row>
    <row r="12">
      <c r="A12" t="inlineStr">
        <is>
          <t>Unit-driven share of staffed time (work sampling)</t>
        </is>
      </c>
      <c r="B12" s="2" t="n">
        <v>0.761</v>
      </c>
    </row>
    <row r="14">
      <c r="A14" t="inlineStr">
        <is>
          <t>Total hours incl. indirect</t>
        </is>
      </c>
      <c r="B14">
        <f>E8/B12</f>
        <v/>
      </c>
    </row>
    <row r="15">
      <c r="A15" t="inlineStr">
        <is>
          <t>Available hours per FTE</t>
        </is>
      </c>
      <c r="B15">
        <f>Availability!B10</f>
        <v/>
      </c>
    </row>
    <row r="16">
      <c r="A16" t="inlineStr">
        <is>
          <t>Required inspector FTE</t>
        </is>
      </c>
      <c r="B16">
        <f>B14/B15</f>
        <v/>
      </c>
    </row>
    <row r="17">
      <c r="A17" t="inlineStr">
        <is>
          <t>On staff</t>
        </is>
      </c>
      <c r="B17" s="2" t="n">
        <v>21</v>
      </c>
    </row>
    <row r="18">
      <c r="A18" t="inlineStr">
        <is>
          <t>Gap (on staff - required)</t>
        </is>
      </c>
      <c r="B18">
        <f>B17-B16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Plan reviewer workload model (2026 base forecast)</t>
        </is>
      </c>
    </row>
    <row r="3">
      <c r="A3" s="3" t="inlineStr">
        <is>
          <t>Driver</t>
        </is>
      </c>
      <c r="B3" s="3" t="inlineStr">
        <is>
          <t>Annual volume</t>
        </is>
      </c>
      <c r="C3" s="3" t="inlineStr">
        <is>
          <t>Review (min)</t>
        </is>
      </c>
      <c r="D3" s="3" t="inlineStr">
        <is>
          <t>Resubmittal rate</t>
        </is>
      </c>
      <c r="E3" s="3" t="inlineStr">
        <is>
          <t>Resubmittal (min)</t>
        </is>
      </c>
      <c r="F3" s="3" t="inlineStr">
        <is>
          <t>Hours</t>
        </is>
      </c>
    </row>
    <row r="4">
      <c r="A4" t="inlineStr">
        <is>
          <t>Residential plan reviews</t>
        </is>
      </c>
      <c r="B4" s="2" t="n">
        <v>1913</v>
      </c>
      <c r="C4" s="2" t="n">
        <v>102.8</v>
      </c>
      <c r="D4" s="2" t="n">
        <v>0.35</v>
      </c>
      <c r="E4" s="2" t="n">
        <v>41.5</v>
      </c>
      <c r="F4">
        <f>B4*(C4+D4*E4)/60</f>
        <v/>
      </c>
    </row>
    <row r="5">
      <c r="A5" t="inlineStr">
        <is>
          <t>Commercial plan reviews</t>
        </is>
      </c>
      <c r="B5" s="2" t="n">
        <v>533</v>
      </c>
      <c r="C5" s="2" t="n">
        <v>467.4</v>
      </c>
      <c r="D5" s="2" t="n">
        <v>0.55</v>
      </c>
      <c r="E5" s="2" t="n">
        <v>175.7</v>
      </c>
      <c r="F5">
        <f>B5*(C5+D5*E5)/60</f>
        <v/>
      </c>
    </row>
    <row r="7">
      <c r="A7" t="inlineStr">
        <is>
          <t>Indirect share</t>
        </is>
      </c>
      <c r="B7" s="2" t="n">
        <v>0.2</v>
      </c>
    </row>
    <row r="8">
      <c r="A8" t="inlineStr">
        <is>
          <t>Total hours</t>
        </is>
      </c>
      <c r="B8">
        <f>SUM(F4:F5)/(1-B7)</f>
        <v/>
      </c>
    </row>
    <row r="9">
      <c r="A9" t="inlineStr">
        <is>
          <t>Required reviewer FTE</t>
        </is>
      </c>
      <c r="B9">
        <f>B8/Availability!B10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Inspector supply projection (yellow = inputs)</t>
        </is>
      </c>
    </row>
    <row r="2">
      <c r="A2" t="inlineStr">
        <is>
          <t>Quit rate</t>
        </is>
      </c>
      <c r="B2" s="2" t="n">
        <v>0.046</v>
      </c>
    </row>
    <row r="3">
      <c r="A3" t="inlineStr">
        <is>
          <t>New-hire first-year productivity</t>
        </is>
      </c>
      <c r="B3" s="2" t="n">
        <v>0.65</v>
      </c>
    </row>
    <row r="5">
      <c r="A5" s="3" t="inlineStr">
        <is>
          <t>Year</t>
        </is>
      </c>
      <c r="B5" s="3" t="inlineStr">
        <is>
          <t>Start headcount</t>
        </is>
      </c>
      <c r="C5" s="3" t="inlineStr">
        <is>
          <t>Retirements</t>
        </is>
      </c>
      <c r="D5" s="3" t="inlineStr">
        <is>
          <t>Quits</t>
        </is>
      </c>
      <c r="E5" s="3" t="inlineStr">
        <is>
          <t>Hires</t>
        </is>
      </c>
      <c r="F5" s="3" t="inlineStr">
        <is>
          <t>End headcount</t>
        </is>
      </c>
      <c r="G5" s="3" t="inlineStr">
        <is>
          <t>Effective FTE</t>
        </is>
      </c>
      <c r="H5" s="3" t="inlineStr">
        <is>
          <t>Required FTE</t>
        </is>
      </c>
      <c r="I5" s="3" t="inlineStr">
        <is>
          <t>Gap</t>
        </is>
      </c>
    </row>
    <row r="6">
      <c r="A6" t="n">
        <v>2026</v>
      </c>
      <c r="B6" s="2" t="n">
        <v>21</v>
      </c>
      <c r="C6" s="2" t="n">
        <v>0.3</v>
      </c>
      <c r="D6">
        <f>B6*$B$2</f>
        <v/>
      </c>
      <c r="E6" s="2" t="n">
        <v>4</v>
      </c>
      <c r="F6">
        <f>B6-C6-D6+E6</f>
        <v/>
      </c>
      <c r="G6">
        <f>(B6+B6-C6-D6)/2+E6*$B$3</f>
        <v/>
      </c>
      <c r="H6" s="2" t="n">
        <v>25.12</v>
      </c>
      <c r="I6">
        <f>G6-H6</f>
        <v/>
      </c>
    </row>
    <row r="7">
      <c r="A7" t="n">
        <v>2027</v>
      </c>
      <c r="B7">
        <f>F6</f>
        <v/>
      </c>
      <c r="C7" s="2" t="n">
        <v>0.2</v>
      </c>
      <c r="D7">
        <f>B7*$B$2</f>
        <v/>
      </c>
      <c r="E7" s="2" t="n">
        <v>4</v>
      </c>
      <c r="F7">
        <f>B7-C7-D7+E7</f>
        <v/>
      </c>
      <c r="G7">
        <f>(B7+B7-C7-D7)/2+E7*$B$3</f>
        <v/>
      </c>
      <c r="H7" s="2" t="n">
        <v>25.96</v>
      </c>
      <c r="I7">
        <f>G7-H7</f>
        <v/>
      </c>
    </row>
    <row r="8">
      <c r="A8" t="n">
        <v>2028</v>
      </c>
      <c r="B8">
        <f>F7</f>
        <v/>
      </c>
      <c r="C8" s="2" t="n">
        <v>0.5</v>
      </c>
      <c r="D8">
        <f>B8*$B$2</f>
        <v/>
      </c>
      <c r="E8" s="2" t="n">
        <v>3</v>
      </c>
      <c r="F8">
        <f>B8-C8-D8+E8</f>
        <v/>
      </c>
      <c r="G8">
        <f>(B8+B8-C8-D8)/2+E8*$B$3</f>
        <v/>
      </c>
      <c r="H8" s="2" t="n">
        <v>26.83</v>
      </c>
      <c r="I8">
        <f>G8-H8</f>
        <v/>
      </c>
    </row>
    <row r="10">
      <c r="A10" t="inlineStr">
        <is>
          <t>Retirements are expected values from the eligibility rule in tools/stmkit.py (illustrative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2026-10-26T21:26:08Z</dcterms:created>
  <dcterms:modified xmlns:dcterms="http://purl.org/dc/terms/" xmlns:xsi="http://www.w3.org/2001/XMLSchema-instance" xsi:type="dcterms:W3CDTF">2026-10-26T21:26:08Z</dcterms:modified>
</cp:coreProperties>
</file>