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dg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How to u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48" customWidth="1" min="2" max="2"/>
  </cols>
  <sheetData>
    <row r="1">
      <c r="A1" s="1" t="inlineStr">
        <is>
          <t>Category</t>
        </is>
      </c>
      <c r="B1" s="1" t="inlineStr">
        <is>
          <t>Element</t>
        </is>
      </c>
      <c r="C1" s="1" t="inlineStr">
        <is>
          <t>2026-01</t>
        </is>
      </c>
      <c r="D1" s="1" t="inlineStr">
        <is>
          <t>2026-02</t>
        </is>
      </c>
      <c r="E1" s="1" t="inlineStr">
        <is>
          <t>2026-03</t>
        </is>
      </c>
      <c r="F1" s="1" t="inlineStr">
        <is>
          <t>2026-04</t>
        </is>
      </c>
      <c r="G1" s="1" t="inlineStr">
        <is>
          <t>2026-05</t>
        </is>
      </c>
      <c r="H1" s="1" t="inlineStr">
        <is>
          <t>2026-06</t>
        </is>
      </c>
      <c r="I1" s="1" t="inlineStr">
        <is>
          <t>2026-07</t>
        </is>
      </c>
      <c r="J1" s="1" t="inlineStr">
        <is>
          <t>2026-08</t>
        </is>
      </c>
      <c r="K1" s="1" t="inlineStr">
        <is>
          <t>2026-09</t>
        </is>
      </c>
      <c r="L1" s="1" t="inlineStr">
        <is>
          <t>2026-10</t>
        </is>
      </c>
      <c r="M1" s="1" t="inlineStr">
        <is>
          <t>2026-11</t>
        </is>
      </c>
      <c r="N1" s="1" t="inlineStr">
        <is>
          <t>2026-12</t>
        </is>
      </c>
      <c r="O1" s="1" t="inlineStr">
        <is>
          <t>Year</t>
        </is>
      </c>
    </row>
    <row r="2">
      <c r="A2" t="inlineStr">
        <is>
          <t>Prevention</t>
        </is>
      </c>
      <c r="B2" t="inlineStr">
        <is>
          <t>Design &amp; process FMEA / reviews</t>
        </is>
      </c>
      <c r="C2" t="n">
        <v>1100</v>
      </c>
      <c r="D2" t="n">
        <v>1220</v>
      </c>
      <c r="E2" t="n">
        <v>1160</v>
      </c>
      <c r="F2" t="n">
        <v>1020</v>
      </c>
      <c r="G2" t="n">
        <v>1740</v>
      </c>
      <c r="H2" t="n">
        <v>1050</v>
      </c>
      <c r="I2" t="n">
        <v>2050</v>
      </c>
      <c r="J2" t="n">
        <v>2680</v>
      </c>
      <c r="K2" t="n">
        <v>3790</v>
      </c>
      <c r="L2" t="n">
        <v>4120</v>
      </c>
      <c r="M2" t="n">
        <v>4360</v>
      </c>
      <c r="N2" t="n">
        <v>4380</v>
      </c>
      <c r="O2">
        <f>SUM(C2:N2)</f>
        <v/>
      </c>
    </row>
    <row r="3">
      <c r="A3" t="inlineStr">
        <is>
          <t>Prevention</t>
        </is>
      </c>
      <c r="B3" t="inlineStr">
        <is>
          <t>Preventive maintenance (quality-critical equipment)</t>
        </is>
      </c>
      <c r="C3" t="n">
        <v>4440</v>
      </c>
      <c r="D3" t="n">
        <v>4180</v>
      </c>
      <c r="E3" t="n">
        <v>4070</v>
      </c>
      <c r="F3" t="n">
        <v>3780</v>
      </c>
      <c r="G3" t="n">
        <v>4200</v>
      </c>
      <c r="H3" t="n">
        <v>3730</v>
      </c>
      <c r="I3" t="n">
        <v>4470</v>
      </c>
      <c r="J3" t="n">
        <v>5090</v>
      </c>
      <c r="K3" t="n">
        <v>6380</v>
      </c>
      <c r="L3" t="n">
        <v>6720</v>
      </c>
      <c r="M3" t="n">
        <v>7140</v>
      </c>
      <c r="N3" t="n">
        <v>6540</v>
      </c>
      <c r="O3">
        <f>SUM(C3:N3)</f>
        <v/>
      </c>
    </row>
    <row r="4">
      <c r="A4" t="inlineStr">
        <is>
          <t>Prevention</t>
        </is>
      </c>
      <c r="B4" t="inlineStr">
        <is>
          <t>Quality planning &amp; engineering</t>
        </is>
      </c>
      <c r="C4" t="n">
        <v>9080</v>
      </c>
      <c r="D4" t="n">
        <v>8780</v>
      </c>
      <c r="E4" t="n">
        <v>9180</v>
      </c>
      <c r="F4" t="n">
        <v>9510</v>
      </c>
      <c r="G4" t="n">
        <v>8790</v>
      </c>
      <c r="H4" t="n">
        <v>8970</v>
      </c>
      <c r="I4" t="n">
        <v>10870</v>
      </c>
      <c r="J4" t="n">
        <v>12050</v>
      </c>
      <c r="K4" t="n">
        <v>13380</v>
      </c>
      <c r="L4" t="n">
        <v>14980</v>
      </c>
      <c r="M4" t="n">
        <v>15830</v>
      </c>
      <c r="N4" t="n">
        <v>14590</v>
      </c>
      <c r="O4">
        <f>SUM(C4:N4)</f>
        <v/>
      </c>
    </row>
    <row r="5">
      <c r="A5" t="inlineStr">
        <is>
          <t>Prevention</t>
        </is>
      </c>
      <c r="B5" t="inlineStr">
        <is>
          <t>Supplier quality development</t>
        </is>
      </c>
      <c r="C5" t="n">
        <v>2160</v>
      </c>
      <c r="D5" t="n">
        <v>1900</v>
      </c>
      <c r="E5" t="n">
        <v>1970</v>
      </c>
      <c r="F5" t="n">
        <v>2100</v>
      </c>
      <c r="G5" t="n">
        <v>1640</v>
      </c>
      <c r="H5" t="n">
        <v>1340</v>
      </c>
      <c r="I5" t="n">
        <v>2760</v>
      </c>
      <c r="J5" t="n">
        <v>4110</v>
      </c>
      <c r="K5" t="n">
        <v>4960</v>
      </c>
      <c r="L5" t="n">
        <v>5510</v>
      </c>
      <c r="M5" t="n">
        <v>6170</v>
      </c>
      <c r="N5" t="n">
        <v>6160</v>
      </c>
      <c r="O5">
        <f>SUM(C5:N5)</f>
        <v/>
      </c>
    </row>
    <row r="6">
      <c r="A6" t="inlineStr">
        <is>
          <t>Prevention</t>
        </is>
      </c>
      <c r="B6" t="inlineStr">
        <is>
          <t>Training in quality methods</t>
        </is>
      </c>
      <c r="C6" t="n">
        <v>1390</v>
      </c>
      <c r="D6" t="n">
        <v>1290</v>
      </c>
      <c r="E6" t="n">
        <v>1500</v>
      </c>
      <c r="F6" t="n">
        <v>1460</v>
      </c>
      <c r="G6" t="n">
        <v>980</v>
      </c>
      <c r="H6" t="n">
        <v>1540</v>
      </c>
      <c r="I6" t="n">
        <v>2960</v>
      </c>
      <c r="J6" t="n">
        <v>3070</v>
      </c>
      <c r="K6" t="n">
        <v>3470</v>
      </c>
      <c r="L6" t="n">
        <v>5120</v>
      </c>
      <c r="M6" t="n">
        <v>5340</v>
      </c>
      <c r="N6" t="n">
        <v>5130</v>
      </c>
      <c r="O6">
        <f>SUM(C6:N6)</f>
        <v/>
      </c>
    </row>
    <row r="7">
      <c r="A7" t="inlineStr">
        <is>
          <t>Appraisal</t>
        </is>
      </c>
      <c r="B7" t="inlineStr">
        <is>
          <t>Calibration &amp; gauge maintenance</t>
        </is>
      </c>
      <c r="C7" t="n">
        <v>3390</v>
      </c>
      <c r="D7" t="n">
        <v>3140</v>
      </c>
      <c r="E7" t="n">
        <v>3630</v>
      </c>
      <c r="F7" t="n">
        <v>3570</v>
      </c>
      <c r="G7" t="n">
        <v>3690</v>
      </c>
      <c r="H7" t="n">
        <v>3480</v>
      </c>
      <c r="I7" t="n">
        <v>3480</v>
      </c>
      <c r="J7" t="n">
        <v>3630</v>
      </c>
      <c r="K7" t="n">
        <v>3560</v>
      </c>
      <c r="L7" t="n">
        <v>3600</v>
      </c>
      <c r="M7" t="n">
        <v>3740</v>
      </c>
      <c r="N7" t="n">
        <v>3450</v>
      </c>
      <c r="O7">
        <f>SUM(C7:N7)</f>
        <v/>
      </c>
    </row>
    <row r="8">
      <c r="A8" t="inlineStr">
        <is>
          <t>Appraisal</t>
        </is>
      </c>
      <c r="B8" t="inlineStr">
        <is>
          <t>Final test &amp; inspection</t>
        </is>
      </c>
      <c r="C8" t="n">
        <v>22030</v>
      </c>
      <c r="D8" t="n">
        <v>21290</v>
      </c>
      <c r="E8" t="n">
        <v>21030</v>
      </c>
      <c r="F8" t="n">
        <v>24070</v>
      </c>
      <c r="G8" t="n">
        <v>22000</v>
      </c>
      <c r="H8" t="n">
        <v>22510</v>
      </c>
      <c r="I8" t="n">
        <v>21740</v>
      </c>
      <c r="J8" t="n">
        <v>21470</v>
      </c>
      <c r="K8" t="n">
        <v>20530</v>
      </c>
      <c r="L8" t="n">
        <v>21090</v>
      </c>
      <c r="M8" t="n">
        <v>20490</v>
      </c>
      <c r="N8" t="n">
        <v>18940</v>
      </c>
      <c r="O8">
        <f>SUM(C8:N8)</f>
        <v/>
      </c>
    </row>
    <row r="9">
      <c r="A9" t="inlineStr">
        <is>
          <t>Appraisal</t>
        </is>
      </c>
      <c r="B9" t="inlineStr">
        <is>
          <t>In-process inspection</t>
        </is>
      </c>
      <c r="C9" t="n">
        <v>18180</v>
      </c>
      <c r="D9" t="n">
        <v>19740</v>
      </c>
      <c r="E9" t="n">
        <v>19310</v>
      </c>
      <c r="F9" t="n">
        <v>16520</v>
      </c>
      <c r="G9" t="n">
        <v>18960</v>
      </c>
      <c r="H9" t="n">
        <v>18220</v>
      </c>
      <c r="I9" t="n">
        <v>16650</v>
      </c>
      <c r="J9" t="n">
        <v>16830</v>
      </c>
      <c r="K9" t="n">
        <v>15330</v>
      </c>
      <c r="L9" t="n">
        <v>13650</v>
      </c>
      <c r="M9" t="n">
        <v>16360</v>
      </c>
      <c r="N9" t="n">
        <v>14880</v>
      </c>
      <c r="O9">
        <f>SUM(C9:N9)</f>
        <v/>
      </c>
    </row>
    <row r="10">
      <c r="A10" t="inlineStr">
        <is>
          <t>Appraisal</t>
        </is>
      </c>
      <c r="B10" t="inlineStr">
        <is>
          <t>Incoming inspection</t>
        </is>
      </c>
      <c r="C10" t="n">
        <v>11500</v>
      </c>
      <c r="D10" t="n">
        <v>11170</v>
      </c>
      <c r="E10" t="n">
        <v>11470</v>
      </c>
      <c r="F10" t="n">
        <v>10060</v>
      </c>
      <c r="G10" t="n">
        <v>10650</v>
      </c>
      <c r="H10" t="n">
        <v>11560</v>
      </c>
      <c r="I10" t="n">
        <v>10170</v>
      </c>
      <c r="J10" t="n">
        <v>9320</v>
      </c>
      <c r="K10" t="n">
        <v>8960</v>
      </c>
      <c r="L10" t="n">
        <v>9970</v>
      </c>
      <c r="M10" t="n">
        <v>7830</v>
      </c>
      <c r="N10" t="n">
        <v>7510</v>
      </c>
      <c r="O10">
        <f>SUM(C10:N10)</f>
        <v/>
      </c>
    </row>
    <row r="11">
      <c r="A11" t="inlineStr">
        <is>
          <t>Appraisal</t>
        </is>
      </c>
      <c r="B11" t="inlineStr">
        <is>
          <t>Quality audits</t>
        </is>
      </c>
      <c r="C11" t="n">
        <v>2520</v>
      </c>
      <c r="D11" t="n">
        <v>2830</v>
      </c>
      <c r="E11" t="n">
        <v>2310</v>
      </c>
      <c r="F11" t="n">
        <v>2570</v>
      </c>
      <c r="G11" t="n">
        <v>2540</v>
      </c>
      <c r="H11" t="n">
        <v>2480</v>
      </c>
      <c r="I11" t="n">
        <v>2780</v>
      </c>
      <c r="J11" t="n">
        <v>2180</v>
      </c>
      <c r="K11" t="n">
        <v>2500</v>
      </c>
      <c r="L11" t="n">
        <v>2120</v>
      </c>
      <c r="M11" t="n">
        <v>2540</v>
      </c>
      <c r="N11" t="n">
        <v>2200</v>
      </c>
      <c r="O11">
        <f>SUM(C11:N11)</f>
        <v/>
      </c>
    </row>
    <row r="12">
      <c r="A12" t="inlineStr">
        <is>
          <t>Internal failure</t>
        </is>
      </c>
      <c r="B12" t="inlineStr">
        <is>
          <t>Failure investigation &amp; MRB</t>
        </is>
      </c>
      <c r="C12" t="n">
        <v>6210</v>
      </c>
      <c r="D12" t="n">
        <v>6590</v>
      </c>
      <c r="E12" t="n">
        <v>5860</v>
      </c>
      <c r="F12" t="n">
        <v>6910</v>
      </c>
      <c r="G12" t="n">
        <v>6100</v>
      </c>
      <c r="H12" t="n">
        <v>5500</v>
      </c>
      <c r="I12" t="n">
        <v>4710</v>
      </c>
      <c r="J12" t="n">
        <v>6500</v>
      </c>
      <c r="K12" t="n">
        <v>4700</v>
      </c>
      <c r="L12" t="n">
        <v>4700</v>
      </c>
      <c r="M12" t="n">
        <v>5400</v>
      </c>
      <c r="N12" t="n">
        <v>5050</v>
      </c>
      <c r="O12">
        <f>SUM(C12:N12)</f>
        <v/>
      </c>
    </row>
    <row r="13">
      <c r="A13" t="inlineStr">
        <is>
          <t>Internal failure</t>
        </is>
      </c>
      <c r="B13" t="inlineStr">
        <is>
          <t>Re-inspection &amp; re-test</t>
        </is>
      </c>
      <c r="C13" t="n">
        <v>9160</v>
      </c>
      <c r="D13" t="n">
        <v>8230</v>
      </c>
      <c r="E13" t="n">
        <v>8420</v>
      </c>
      <c r="F13" t="n">
        <v>9390</v>
      </c>
      <c r="G13" t="n">
        <v>9010</v>
      </c>
      <c r="H13" t="n">
        <v>8820</v>
      </c>
      <c r="I13" t="n">
        <v>7990</v>
      </c>
      <c r="J13" t="n">
        <v>8990</v>
      </c>
      <c r="K13" t="n">
        <v>8890</v>
      </c>
      <c r="L13" t="n">
        <v>5770</v>
      </c>
      <c r="M13" t="n">
        <v>5960</v>
      </c>
      <c r="N13" t="n">
        <v>4720</v>
      </c>
      <c r="O13">
        <f>SUM(C13:N13)</f>
        <v/>
      </c>
    </row>
    <row r="14">
      <c r="A14" t="inlineStr">
        <is>
          <t>Internal failure</t>
        </is>
      </c>
      <c r="B14" t="inlineStr">
        <is>
          <t>Rework &amp; repair</t>
        </is>
      </c>
      <c r="C14" t="n">
        <v>38670</v>
      </c>
      <c r="D14" t="n">
        <v>42460</v>
      </c>
      <c r="E14" t="n">
        <v>35190</v>
      </c>
      <c r="F14" t="n">
        <v>41000</v>
      </c>
      <c r="G14" t="n">
        <v>37480</v>
      </c>
      <c r="H14" t="n">
        <v>37700</v>
      </c>
      <c r="I14" t="n">
        <v>39070</v>
      </c>
      <c r="J14" t="n">
        <v>33770</v>
      </c>
      <c r="K14" t="n">
        <v>33940</v>
      </c>
      <c r="L14" t="n">
        <v>34990</v>
      </c>
      <c r="M14" t="n">
        <v>29570</v>
      </c>
      <c r="N14" t="n">
        <v>17460</v>
      </c>
      <c r="O14">
        <f>SUM(C14:N14)</f>
        <v/>
      </c>
    </row>
    <row r="15">
      <c r="A15" t="inlineStr">
        <is>
          <t>Internal failure</t>
        </is>
      </c>
      <c r="B15" t="inlineStr">
        <is>
          <t>Scrap</t>
        </is>
      </c>
      <c r="C15" t="n">
        <v>56590</v>
      </c>
      <c r="D15" t="n">
        <v>48670</v>
      </c>
      <c r="E15" t="n">
        <v>47650</v>
      </c>
      <c r="F15" t="n">
        <v>51010</v>
      </c>
      <c r="G15" t="n">
        <v>59170</v>
      </c>
      <c r="H15" t="n">
        <v>60400</v>
      </c>
      <c r="I15" t="n">
        <v>55210</v>
      </c>
      <c r="J15" t="n">
        <v>48150</v>
      </c>
      <c r="K15" t="n">
        <v>45080</v>
      </c>
      <c r="L15" t="n">
        <v>41610</v>
      </c>
      <c r="M15" t="n">
        <v>38280</v>
      </c>
      <c r="N15" t="n">
        <v>30060</v>
      </c>
      <c r="O15">
        <f>SUM(C15:N15)</f>
        <v/>
      </c>
    </row>
    <row r="16">
      <c r="A16" t="inlineStr">
        <is>
          <t>Internal failure</t>
        </is>
      </c>
      <c r="B16" t="inlineStr">
        <is>
          <t>Supplier-reject handling</t>
        </is>
      </c>
      <c r="C16" t="n">
        <v>3900</v>
      </c>
      <c r="D16" t="n">
        <v>4180</v>
      </c>
      <c r="E16" t="n">
        <v>3840</v>
      </c>
      <c r="F16" t="n">
        <v>4760</v>
      </c>
      <c r="G16" t="n">
        <v>3330</v>
      </c>
      <c r="H16" t="n">
        <v>3960</v>
      </c>
      <c r="I16" t="n">
        <v>4110</v>
      </c>
      <c r="J16" t="n">
        <v>3660</v>
      </c>
      <c r="K16" t="n">
        <v>3610</v>
      </c>
      <c r="L16" t="n">
        <v>3520</v>
      </c>
      <c r="M16" t="n">
        <v>3750</v>
      </c>
      <c r="N16" t="n">
        <v>2480</v>
      </c>
      <c r="O16">
        <f>SUM(C16:N16)</f>
        <v/>
      </c>
    </row>
    <row r="17">
      <c r="A17" t="inlineStr">
        <is>
          <t>External failure</t>
        </is>
      </c>
      <c r="B17" t="inlineStr">
        <is>
          <t>Complaint handling</t>
        </is>
      </c>
      <c r="C17" t="n">
        <v>5180</v>
      </c>
      <c r="D17" t="n">
        <v>5460</v>
      </c>
      <c r="E17" t="n">
        <v>4930</v>
      </c>
      <c r="F17" t="n">
        <v>5010</v>
      </c>
      <c r="G17" t="n">
        <v>5060</v>
      </c>
      <c r="H17" t="n">
        <v>5090</v>
      </c>
      <c r="I17" t="n">
        <v>5170</v>
      </c>
      <c r="J17" t="n">
        <v>5430</v>
      </c>
      <c r="K17" t="n">
        <v>4540</v>
      </c>
      <c r="L17" t="n">
        <v>2600</v>
      </c>
      <c r="M17" t="n">
        <v>3580</v>
      </c>
      <c r="N17" t="n">
        <v>3930</v>
      </c>
      <c r="O17">
        <f>SUM(C17:N17)</f>
        <v/>
      </c>
    </row>
    <row r="18">
      <c r="A18" t="inlineStr">
        <is>
          <t>External failure</t>
        </is>
      </c>
      <c r="B18" t="inlineStr">
        <is>
          <t>Customer concessions &amp; credits</t>
        </is>
      </c>
      <c r="C18" t="n">
        <v>4490</v>
      </c>
      <c r="D18" t="n">
        <v>4040</v>
      </c>
      <c r="E18" t="n">
        <v>7190</v>
      </c>
      <c r="F18" t="n">
        <v>5610</v>
      </c>
      <c r="G18" t="n">
        <v>3670</v>
      </c>
      <c r="H18" t="n">
        <v>5240</v>
      </c>
      <c r="I18" t="n">
        <v>6130</v>
      </c>
      <c r="J18" t="n">
        <v>6040</v>
      </c>
      <c r="K18" t="n">
        <v>5510</v>
      </c>
      <c r="L18" t="n">
        <v>4480</v>
      </c>
      <c r="M18" t="n">
        <v>4810</v>
      </c>
      <c r="N18" t="n">
        <v>4750</v>
      </c>
      <c r="O18">
        <f>SUM(C18:N18)</f>
        <v/>
      </c>
    </row>
    <row r="19">
      <c r="A19" t="inlineStr">
        <is>
          <t>External failure</t>
        </is>
      </c>
      <c r="B19" t="inlineStr">
        <is>
          <t>Field service visits</t>
        </is>
      </c>
      <c r="C19" t="n">
        <v>6840</v>
      </c>
      <c r="D19" t="n">
        <v>7140</v>
      </c>
      <c r="E19" t="n">
        <v>10370</v>
      </c>
      <c r="F19" t="n">
        <v>7510</v>
      </c>
      <c r="G19" t="n">
        <v>8630</v>
      </c>
      <c r="H19" t="n">
        <v>10470</v>
      </c>
      <c r="I19" t="n">
        <v>9030</v>
      </c>
      <c r="J19" t="n">
        <v>7840</v>
      </c>
      <c r="K19" t="n">
        <v>8970</v>
      </c>
      <c r="L19" t="n">
        <v>7150</v>
      </c>
      <c r="M19" t="n">
        <v>6800</v>
      </c>
      <c r="N19" t="n">
        <v>6610</v>
      </c>
      <c r="O19">
        <f>SUM(C19:N19)</f>
        <v/>
      </c>
    </row>
    <row r="20">
      <c r="A20" t="inlineStr">
        <is>
          <t>External failure</t>
        </is>
      </c>
      <c r="B20" t="inlineStr">
        <is>
          <t>Returns processing &amp; replacement</t>
        </is>
      </c>
      <c r="C20" t="n">
        <v>13510</v>
      </c>
      <c r="D20" t="n">
        <v>14320</v>
      </c>
      <c r="E20" t="n">
        <v>13160</v>
      </c>
      <c r="F20" t="n">
        <v>14530</v>
      </c>
      <c r="G20" t="n">
        <v>14200</v>
      </c>
      <c r="H20" t="n">
        <v>16220</v>
      </c>
      <c r="I20" t="n">
        <v>13640</v>
      </c>
      <c r="J20" t="n">
        <v>10890</v>
      </c>
      <c r="K20" t="n">
        <v>13450</v>
      </c>
      <c r="L20" t="n">
        <v>8750</v>
      </c>
      <c r="M20" t="n">
        <v>10620</v>
      </c>
      <c r="N20" t="n">
        <v>9080</v>
      </c>
      <c r="O20">
        <f>SUM(C20:N20)</f>
        <v/>
      </c>
    </row>
    <row r="21">
      <c r="A21" t="inlineStr">
        <is>
          <t>External failure</t>
        </is>
      </c>
      <c r="B21" t="inlineStr">
        <is>
          <t>Warranty claims</t>
        </is>
      </c>
      <c r="C21" t="n">
        <v>30440</v>
      </c>
      <c r="D21" t="n">
        <v>25070</v>
      </c>
      <c r="E21" t="n">
        <v>31910</v>
      </c>
      <c r="F21" t="n">
        <v>34220</v>
      </c>
      <c r="G21" t="n">
        <v>30050</v>
      </c>
      <c r="H21" t="n">
        <v>23970</v>
      </c>
      <c r="I21" t="n">
        <v>29890</v>
      </c>
      <c r="J21" t="n">
        <v>27360</v>
      </c>
      <c r="K21" t="n">
        <v>24690</v>
      </c>
      <c r="L21" t="n">
        <v>27020</v>
      </c>
      <c r="M21" t="n">
        <v>17160</v>
      </c>
      <c r="N21" t="n">
        <v>18250</v>
      </c>
      <c r="O21">
        <f>SUM(C21:N21)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Category</t>
        </is>
      </c>
      <c r="B1" s="1" t="inlineStr">
        <is>
          <t>2026-01</t>
        </is>
      </c>
      <c r="C1" s="1" t="inlineStr">
        <is>
          <t>2026-02</t>
        </is>
      </c>
      <c r="D1" s="1" t="inlineStr">
        <is>
          <t>2026-03</t>
        </is>
      </c>
      <c r="E1" s="1" t="inlineStr">
        <is>
          <t>2026-04</t>
        </is>
      </c>
      <c r="F1" s="1" t="inlineStr">
        <is>
          <t>2026-05</t>
        </is>
      </c>
      <c r="G1" s="1" t="inlineStr">
        <is>
          <t>2026-06</t>
        </is>
      </c>
      <c r="H1" s="1" t="inlineStr">
        <is>
          <t>2026-07</t>
        </is>
      </c>
      <c r="I1" s="1" t="inlineStr">
        <is>
          <t>2026-08</t>
        </is>
      </c>
      <c r="J1" s="1" t="inlineStr">
        <is>
          <t>2026-09</t>
        </is>
      </c>
      <c r="K1" s="1" t="inlineStr">
        <is>
          <t>2026-10</t>
        </is>
      </c>
      <c r="L1" s="1" t="inlineStr">
        <is>
          <t>2026-11</t>
        </is>
      </c>
      <c r="M1" s="1" t="inlineStr">
        <is>
          <t>2026-12</t>
        </is>
      </c>
      <c r="N1" s="1" t="inlineStr">
        <is>
          <t>Year</t>
        </is>
      </c>
    </row>
    <row r="2">
      <c r="A2" t="inlineStr">
        <is>
          <t>Prevention</t>
        </is>
      </c>
      <c r="B2">
        <f>SUMIF(Ledger!$A$2:$A$500,$A2,Ledger!C$2:C$500)</f>
        <v/>
      </c>
      <c r="C2">
        <f>SUMIF(Ledger!$A$2:$A$500,$A2,Ledger!D$2:D$500)</f>
        <v/>
      </c>
      <c r="D2">
        <f>SUMIF(Ledger!$A$2:$A$500,$A2,Ledger!E$2:E$500)</f>
        <v/>
      </c>
      <c r="E2">
        <f>SUMIF(Ledger!$A$2:$A$500,$A2,Ledger!F$2:F$500)</f>
        <v/>
      </c>
      <c r="F2">
        <f>SUMIF(Ledger!$A$2:$A$500,$A2,Ledger!G$2:G$500)</f>
        <v/>
      </c>
      <c r="G2">
        <f>SUMIF(Ledger!$A$2:$A$500,$A2,Ledger!H$2:H$500)</f>
        <v/>
      </c>
      <c r="H2">
        <f>SUMIF(Ledger!$A$2:$A$500,$A2,Ledger!I$2:I$500)</f>
        <v/>
      </c>
      <c r="I2">
        <f>SUMIF(Ledger!$A$2:$A$500,$A2,Ledger!J$2:J$500)</f>
        <v/>
      </c>
      <c r="J2">
        <f>SUMIF(Ledger!$A$2:$A$500,$A2,Ledger!K$2:K$500)</f>
        <v/>
      </c>
      <c r="K2">
        <f>SUMIF(Ledger!$A$2:$A$500,$A2,Ledger!L$2:L$500)</f>
        <v/>
      </c>
      <c r="L2">
        <f>SUMIF(Ledger!$A$2:$A$500,$A2,Ledger!M$2:M$500)</f>
        <v/>
      </c>
      <c r="M2">
        <f>SUMIF(Ledger!$A$2:$A$500,$A2,Ledger!N$2:N$500)</f>
        <v/>
      </c>
      <c r="N2">
        <f>SUMIF(Ledger!$A$2:$A$500,$A2,Ledger!O$2:O$500)</f>
        <v/>
      </c>
    </row>
    <row r="3">
      <c r="A3" t="inlineStr">
        <is>
          <t>Appraisal</t>
        </is>
      </c>
      <c r="B3">
        <f>SUMIF(Ledger!$A$2:$A$500,$A3,Ledger!C$2:C$500)</f>
        <v/>
      </c>
      <c r="C3">
        <f>SUMIF(Ledger!$A$2:$A$500,$A3,Ledger!D$2:D$500)</f>
        <v/>
      </c>
      <c r="D3">
        <f>SUMIF(Ledger!$A$2:$A$500,$A3,Ledger!E$2:E$500)</f>
        <v/>
      </c>
      <c r="E3">
        <f>SUMIF(Ledger!$A$2:$A$500,$A3,Ledger!F$2:F$500)</f>
        <v/>
      </c>
      <c r="F3">
        <f>SUMIF(Ledger!$A$2:$A$500,$A3,Ledger!G$2:G$500)</f>
        <v/>
      </c>
      <c r="G3">
        <f>SUMIF(Ledger!$A$2:$A$500,$A3,Ledger!H$2:H$500)</f>
        <v/>
      </c>
      <c r="H3">
        <f>SUMIF(Ledger!$A$2:$A$500,$A3,Ledger!I$2:I$500)</f>
        <v/>
      </c>
      <c r="I3">
        <f>SUMIF(Ledger!$A$2:$A$500,$A3,Ledger!J$2:J$500)</f>
        <v/>
      </c>
      <c r="J3">
        <f>SUMIF(Ledger!$A$2:$A$500,$A3,Ledger!K$2:K$500)</f>
        <v/>
      </c>
      <c r="K3">
        <f>SUMIF(Ledger!$A$2:$A$500,$A3,Ledger!L$2:L$500)</f>
        <v/>
      </c>
      <c r="L3">
        <f>SUMIF(Ledger!$A$2:$A$500,$A3,Ledger!M$2:M$500)</f>
        <v/>
      </c>
      <c r="M3">
        <f>SUMIF(Ledger!$A$2:$A$500,$A3,Ledger!N$2:N$500)</f>
        <v/>
      </c>
      <c r="N3">
        <f>SUMIF(Ledger!$A$2:$A$500,$A3,Ledger!O$2:O$500)</f>
        <v/>
      </c>
    </row>
    <row r="4">
      <c r="A4" t="inlineStr">
        <is>
          <t>Internal failure</t>
        </is>
      </c>
      <c r="B4">
        <f>SUMIF(Ledger!$A$2:$A$500,$A4,Ledger!C$2:C$500)</f>
        <v/>
      </c>
      <c r="C4">
        <f>SUMIF(Ledger!$A$2:$A$500,$A4,Ledger!D$2:D$500)</f>
        <v/>
      </c>
      <c r="D4">
        <f>SUMIF(Ledger!$A$2:$A$500,$A4,Ledger!E$2:E$500)</f>
        <v/>
      </c>
      <c r="E4">
        <f>SUMIF(Ledger!$A$2:$A$500,$A4,Ledger!F$2:F$500)</f>
        <v/>
      </c>
      <c r="F4">
        <f>SUMIF(Ledger!$A$2:$A$500,$A4,Ledger!G$2:G$500)</f>
        <v/>
      </c>
      <c r="G4">
        <f>SUMIF(Ledger!$A$2:$A$500,$A4,Ledger!H$2:H$500)</f>
        <v/>
      </c>
      <c r="H4">
        <f>SUMIF(Ledger!$A$2:$A$500,$A4,Ledger!I$2:I$500)</f>
        <v/>
      </c>
      <c r="I4">
        <f>SUMIF(Ledger!$A$2:$A$500,$A4,Ledger!J$2:J$500)</f>
        <v/>
      </c>
      <c r="J4">
        <f>SUMIF(Ledger!$A$2:$A$500,$A4,Ledger!K$2:K$500)</f>
        <v/>
      </c>
      <c r="K4">
        <f>SUMIF(Ledger!$A$2:$A$500,$A4,Ledger!L$2:L$500)</f>
        <v/>
      </c>
      <c r="L4">
        <f>SUMIF(Ledger!$A$2:$A$500,$A4,Ledger!M$2:M$500)</f>
        <v/>
      </c>
      <c r="M4">
        <f>SUMIF(Ledger!$A$2:$A$500,$A4,Ledger!N$2:N$500)</f>
        <v/>
      </c>
      <c r="N4">
        <f>SUMIF(Ledger!$A$2:$A$500,$A4,Ledger!O$2:O$500)</f>
        <v/>
      </c>
    </row>
    <row r="5">
      <c r="A5" t="inlineStr">
        <is>
          <t>External failure</t>
        </is>
      </c>
      <c r="B5">
        <f>SUMIF(Ledger!$A$2:$A$500,$A5,Ledger!C$2:C$500)</f>
        <v/>
      </c>
      <c r="C5">
        <f>SUMIF(Ledger!$A$2:$A$500,$A5,Ledger!D$2:D$500)</f>
        <v/>
      </c>
      <c r="D5">
        <f>SUMIF(Ledger!$A$2:$A$500,$A5,Ledger!E$2:E$500)</f>
        <v/>
      </c>
      <c r="E5">
        <f>SUMIF(Ledger!$A$2:$A$500,$A5,Ledger!F$2:F$500)</f>
        <v/>
      </c>
      <c r="F5">
        <f>SUMIF(Ledger!$A$2:$A$500,$A5,Ledger!G$2:G$500)</f>
        <v/>
      </c>
      <c r="G5">
        <f>SUMIF(Ledger!$A$2:$A$500,$A5,Ledger!H$2:H$500)</f>
        <v/>
      </c>
      <c r="H5">
        <f>SUMIF(Ledger!$A$2:$A$500,$A5,Ledger!I$2:I$500)</f>
        <v/>
      </c>
      <c r="I5">
        <f>SUMIF(Ledger!$A$2:$A$500,$A5,Ledger!J$2:J$500)</f>
        <v/>
      </c>
      <c r="J5">
        <f>SUMIF(Ledger!$A$2:$A$500,$A5,Ledger!K$2:K$500)</f>
        <v/>
      </c>
      <c r="K5">
        <f>SUMIF(Ledger!$A$2:$A$500,$A5,Ledger!L$2:L$500)</f>
        <v/>
      </c>
      <c r="L5">
        <f>SUMIF(Ledger!$A$2:$A$500,$A5,Ledger!M$2:M$500)</f>
        <v/>
      </c>
      <c r="M5">
        <f>SUMIF(Ledger!$A$2:$A$500,$A5,Ledger!N$2:N$500)</f>
        <v/>
      </c>
      <c r="N5">
        <f>SUMIF(Ledger!$A$2:$A$500,$A5,Ledger!O$2:O$500)</f>
        <v/>
      </c>
    </row>
    <row r="6">
      <c r="A6" s="2" t="inlineStr">
        <is>
          <t>Total CoQ</t>
        </is>
      </c>
      <c r="B6">
        <f>SUM(B2:B5)</f>
        <v/>
      </c>
      <c r="C6">
        <f>SUM(C2:C5)</f>
        <v/>
      </c>
      <c r="D6">
        <f>SUM(D2:D5)</f>
        <v/>
      </c>
      <c r="E6">
        <f>SUM(E2:E5)</f>
        <v/>
      </c>
      <c r="F6">
        <f>SUM(F2:F5)</f>
        <v/>
      </c>
      <c r="G6">
        <f>SUM(G2:G5)</f>
        <v/>
      </c>
      <c r="H6">
        <f>SUM(H2:H5)</f>
        <v/>
      </c>
      <c r="I6">
        <f>SUM(I2:I5)</f>
        <v/>
      </c>
      <c r="J6">
        <f>SUM(J2:J5)</f>
        <v/>
      </c>
      <c r="K6">
        <f>SUM(K2:K5)</f>
        <v/>
      </c>
      <c r="L6">
        <f>SUM(L2:L5)</f>
        <v/>
      </c>
      <c r="M6">
        <f>SUM(M2:M5)</f>
        <v/>
      </c>
      <c r="N6">
        <f>SUM(N2:N5)</f>
        <v/>
      </c>
    </row>
    <row r="7">
      <c r="A7" t="inlineStr">
        <is>
          <t>Sales</t>
        </is>
      </c>
      <c r="B7" t="n">
        <v>3439000</v>
      </c>
      <c r="C7" t="n">
        <v>3302000</v>
      </c>
      <c r="D7" t="n">
        <v>3311000</v>
      </c>
      <c r="E7" t="n">
        <v>3322000</v>
      </c>
      <c r="F7" t="n">
        <v>3188000</v>
      </c>
      <c r="G7" t="n">
        <v>3294000</v>
      </c>
      <c r="H7" t="n">
        <v>3365000</v>
      </c>
      <c r="I7" t="n">
        <v>3266000</v>
      </c>
      <c r="J7" t="n">
        <v>3446000</v>
      </c>
      <c r="K7" t="n">
        <v>3485000</v>
      </c>
      <c r="L7" t="n">
        <v>3335000</v>
      </c>
      <c r="M7" t="n">
        <v>3541000</v>
      </c>
      <c r="N7">
        <f>SUM(B7:M7)</f>
        <v/>
      </c>
    </row>
    <row r="8">
      <c r="A8" s="2" t="inlineStr">
        <is>
          <t>CoQ % of sales</t>
        </is>
      </c>
      <c r="B8" s="3">
        <f>B6/B7</f>
        <v/>
      </c>
      <c r="C8" s="3">
        <f>C6/C7</f>
        <v/>
      </c>
      <c r="D8" s="3">
        <f>D6/D7</f>
        <v/>
      </c>
      <c r="E8" s="3">
        <f>E6/E7</f>
        <v/>
      </c>
      <c r="F8" s="3">
        <f>F6/F7</f>
        <v/>
      </c>
      <c r="G8" s="3">
        <f>G6/G7</f>
        <v/>
      </c>
      <c r="H8" s="3">
        <f>H6/H7</f>
        <v/>
      </c>
      <c r="I8" s="3">
        <f>I6/I7</f>
        <v/>
      </c>
      <c r="J8" s="3">
        <f>J6/J7</f>
        <v/>
      </c>
      <c r="K8" s="3">
        <f>K6/K7</f>
        <v/>
      </c>
      <c r="L8" s="3">
        <f>L6/L7</f>
        <v/>
      </c>
      <c r="M8" s="3">
        <f>M6/M7</f>
        <v/>
      </c>
      <c r="N8" s="3">
        <f>N6/N7</f>
        <v/>
      </c>
    </row>
    <row r="9">
      <c r="A9" t="inlineStr">
        <is>
          <t>Failure % of CoQ</t>
        </is>
      </c>
      <c r="B9" s="4">
        <f>(B4+B5)/B6</f>
        <v/>
      </c>
      <c r="C9" s="4">
        <f>(C4+C5)/C6</f>
        <v/>
      </c>
      <c r="D9" s="4">
        <f>(D4+D5)/D6</f>
        <v/>
      </c>
      <c r="E9" s="4">
        <f>(E4+E5)/E6</f>
        <v/>
      </c>
      <c r="F9" s="4">
        <f>(F4+F5)/F6</f>
        <v/>
      </c>
      <c r="G9" s="4">
        <f>(G4+G5)/G6</f>
        <v/>
      </c>
      <c r="H9" s="4">
        <f>(H4+H5)/H6</f>
        <v/>
      </c>
      <c r="I9" s="4">
        <f>(I4+I5)/I6</f>
        <v/>
      </c>
      <c r="J9" s="4">
        <f>(J4+J5)/J6</f>
        <v/>
      </c>
      <c r="K9" s="4">
        <f>(K4+K5)/K6</f>
        <v/>
      </c>
      <c r="L9" s="4">
        <f>(L4+L5)/L6</f>
        <v/>
      </c>
      <c r="M9" s="4">
        <f>(M4+M5)/M6</f>
        <v/>
      </c>
      <c r="N9" s="4">
        <f>(N4+N5)/N6</f>
        <v/>
      </c>
    </row>
    <row r="10">
      <c r="A10" t="inlineStr">
        <is>
          <t>Prevention % of CoQ</t>
        </is>
      </c>
      <c r="B10" s="4">
        <f>B2/B6</f>
        <v/>
      </c>
      <c r="C10" s="4">
        <f>C2/C6</f>
        <v/>
      </c>
      <c r="D10" s="4">
        <f>D2/D6</f>
        <v/>
      </c>
      <c r="E10" s="4">
        <f>E2/E6</f>
        <v/>
      </c>
      <c r="F10" s="4">
        <f>F2/F6</f>
        <v/>
      </c>
      <c r="G10" s="4">
        <f>G2/G6</f>
        <v/>
      </c>
      <c r="H10" s="4">
        <f>H2/H6</f>
        <v/>
      </c>
      <c r="I10" s="4">
        <f>I2/I6</f>
        <v/>
      </c>
      <c r="J10" s="4">
        <f>J2/J6</f>
        <v/>
      </c>
      <c r="K10" s="4">
        <f>K2/K6</f>
        <v/>
      </c>
      <c r="L10" s="4">
        <f>L2/L6</f>
        <v/>
      </c>
      <c r="M10" s="4">
        <f>M2/M6</f>
        <v/>
      </c>
      <c r="N10" s="4">
        <f>N2/N6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Cost-of-quality tracker (Cost of Quality course).</t>
        </is>
      </c>
    </row>
    <row r="2">
      <c r="A2" t="inlineStr">
        <is>
          <t>1. Ledger: one row per cost element; enter monthly $ in the month columns. Keep the Category text exactly one of:</t>
        </is>
      </c>
    </row>
    <row r="3">
      <c r="A3" t="inlineStr">
        <is>
          <t xml:space="preserve">   Prevention / Appraisal / Internal failure / External failure.</t>
        </is>
      </c>
    </row>
    <row r="4">
      <c r="A4" t="inlineStr">
        <is>
          <t>2. Summary: totals, CoQ % of sales and mix ratios update automatically (formulas).</t>
        </is>
      </c>
    </row>
    <row r="5">
      <c r="A5" t="inlineStr">
        <is>
          <t>3. Enter monthly sales on the Summary sheet (row 'Sales').</t>
        </is>
      </c>
    </row>
    <row r="6">
      <c r="A6" t="inlineStr">
        <is>
          <t>4. Report hidden-cost estimates separately (see module 07); do not mix them into booked costs.</t>
        </is>
      </c>
    </row>
    <row r="7">
      <c r="A7" t="inlineStr">
        <is>
          <t>Pre-filled with the fictional Ellison Hydraulics data; clear the month columns to start your own.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2026-10-26T20:03:58Z</dcterms:created>
  <dcterms:modified xmlns:dcterms="http://purl.org/dc/terms/" xmlns:xsi="http://www.w3.org/2001/XMLSchema-instance" xsi:type="dcterms:W3CDTF">2026-10-26T20:03:58Z</dcterms:modified>
</cp:coreProperties>
</file>